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README" sheetId="1" state="visible" r:id="rId3"/>
    <sheet name="1_Assumptions" sheetId="2" state="visible" r:id="rId4"/>
    <sheet name="2_Component_Costs" sheetId="3" state="visible" r:id="rId5"/>
    <sheet name="3_Scale_Effects" sheetId="4" state="visible" r:id="rId6"/>
    <sheet name="4_Margin_Analysis" sheetId="5" state="visible" r:id="rId7"/>
    <sheet name="5_Sensitivities" sheetId="6" state="visible" r:id="rId8"/>
  </sheets>
  <definedNames>
    <definedName function="false" hidden="false" name="ACV_FULL_L" vbProcedure="false">1_Assumptions!$E$70</definedName>
    <definedName function="false" hidden="false" name="ACV_FULL_M" vbProcedure="false">1_Assumptions!$D$70</definedName>
    <definedName function="false" hidden="false" name="ACV_FULL_S" vbProcedure="false">1_Assumptions!$C$70</definedName>
    <definedName function="false" hidden="false" name="AI_IN_L" vbProcedure="false">1_Assumptions!$E$46</definedName>
    <definedName function="false" hidden="false" name="AI_IN_M" vbProcedure="false">1_Assumptions!$D$46</definedName>
    <definedName function="false" hidden="false" name="AI_IN_S" vbProcedure="false">1_Assumptions!$C$46</definedName>
    <definedName function="false" hidden="false" name="AI_OUT_L" vbProcedure="false">1_Assumptions!$E$47</definedName>
    <definedName function="false" hidden="false" name="AI_OUT_M" vbProcedure="false">1_Assumptions!$D$47</definedName>
    <definedName function="false" hidden="false" name="AI_OUT_S" vbProcedure="false">1_Assumptions!$C$47</definedName>
    <definedName function="false" hidden="false" name="AUDITS_L" vbProcedure="false">1_Assumptions!$E$41</definedName>
    <definedName function="false" hidden="false" name="AUDITS_M" vbProcedure="false">1_Assumptions!$D$41</definedName>
    <definedName function="false" hidden="false" name="AUDITS_S" vbProcedure="false">1_Assumptions!$C$41</definedName>
    <definedName function="false" hidden="false" name="AWS_EC2_M5L" vbProcedure="false">1_Assumptions!$C$13</definedName>
    <definedName function="false" hidden="false" name="AWS_EC2_T3M" vbProcedure="false">1_Assumptions!$C$12</definedName>
    <definedName function="false" hidden="false" name="BACKUP" vbProcedure="false">1_Assumptions!$C$21</definedName>
    <definedName function="false" hidden="false" name="CSM_HR" vbProcedure="false">1_Assumptions!$C$52</definedName>
    <definedName function="false" hidden="false" name="DB_GB_L" vbProcedure="false">1_Assumptions!$E$43</definedName>
    <definedName function="false" hidden="false" name="DB_GB_M" vbProcedure="false">1_Assumptions!$D$43</definedName>
    <definedName function="false" hidden="false" name="DB_GB_S" vbProcedure="false">1_Assumptions!$C$43</definedName>
    <definedName function="false" hidden="false" name="EGRESS" vbProcedure="false">1_Assumptions!$C$19</definedName>
    <definedName function="false" hidden="false" name="EGRESS_GB_L" vbProcedure="false">1_Assumptions!$E$48</definedName>
    <definedName function="false" hidden="false" name="EGRESS_GB_M" vbProcedure="false">1_Assumptions!$D$48</definedName>
    <definedName function="false" hidden="false" name="EGRESS_GB_S" vbProcedure="false">1_Assumptions!$C$48</definedName>
    <definedName function="false" hidden="false" name="ENG_HR" vbProcedure="false">1_Assumptions!$C$53</definedName>
    <definedName function="false" hidden="false" name="EVENTS_L" vbProcedure="false">1_Assumptions!$E$42</definedName>
    <definedName function="false" hidden="false" name="EVENTS_M" vbProcedure="false">1_Assumptions!$D$42</definedName>
    <definedName function="false" hidden="false" name="EVENTS_S" vbProcedure="false">1_Assumptions!$C$42</definedName>
    <definedName function="false" hidden="false" name="FC_Y1_DISC_L" vbProcedure="false">1_Assumptions!$E$72</definedName>
    <definedName function="false" hidden="false" name="FC_Y1_DISC_M" vbProcedure="false">1_Assumptions!$D$72</definedName>
    <definedName function="false" hidden="false" name="FC_Y1_DISC_S" vbProcedure="false">1_Assumptions!$C$72</definedName>
    <definedName function="false" hidden="false" name="FC_Y2_DISC_L" vbProcedure="false">1_Assumptions!$E$73</definedName>
    <definedName function="false" hidden="false" name="FC_Y2_DISC_M" vbProcedure="false">1_Assumptions!$D$73</definedName>
    <definedName function="false" hidden="false" name="FC_Y2_DISC_S" vbProcedure="false">1_Assumptions!$C$73</definedName>
    <definedName function="false" hidden="false" name="FX_USD_INR" vbProcedure="false">1_Assumptions!$C$7</definedName>
    <definedName function="false" hidden="false" name="HY_L" vbProcedure="false">2_Component_Costs!$E$29</definedName>
    <definedName function="false" hidden="false" name="HY_M" vbProcedure="false">2_Component_Costs!$D$29</definedName>
    <definedName function="false" hidden="false" name="HY_S" vbProcedure="false">2_Component_Costs!$C$29</definedName>
    <definedName function="false" hidden="false" name="IMPL_FEE_L" vbProcedure="false">1_Assumptions!$E$71</definedName>
    <definedName function="false" hidden="false" name="IMPL_FEE_M" vbProcedure="false">1_Assumptions!$D$71</definedName>
    <definedName function="false" hidden="false" name="IMPL_FEE_S" vbProcedure="false">1_Assumptions!$C$71</definedName>
    <definedName function="false" hidden="false" name="IMPL_HRS_L" vbProcedure="false">1_Assumptions!$E$55</definedName>
    <definedName function="false" hidden="false" name="IMPL_HRS_M" vbProcedure="false">1_Assumptions!$D$55</definedName>
    <definedName function="false" hidden="false" name="IMPL_HRS_S" vbProcedure="false">1_Assumptions!$C$55</definedName>
    <definedName function="false" hidden="false" name="IS_L" vbProcedure="false">2_Component_Costs!$E$41</definedName>
    <definedName function="false" hidden="false" name="IS_M" vbProcedure="false">2_Component_Costs!$D$41</definedName>
    <definedName function="false" hidden="false" name="IS_S" vbProcedure="false">2_Component_Costs!$C$41</definedName>
    <definedName function="false" hidden="false" name="MONGO_M10" vbProcedure="false">1_Assumptions!$C$15</definedName>
    <definedName function="false" hidden="false" name="MONGO_M30" vbProcedure="false">1_Assumptions!$C$16</definedName>
    <definedName function="false" hidden="false" name="MT_L" vbProcedure="false">2_Component_Costs!$E$17</definedName>
    <definedName function="false" hidden="false" name="MT_M" vbProcedure="false">2_Component_Costs!$D$17</definedName>
    <definedName function="false" hidden="false" name="MT_S" vbProcedure="false">2_Component_Costs!$C$17</definedName>
    <definedName function="false" hidden="false" name="MT_SCALE" vbProcedure="false">3_Scale_Effects!$C$16:$I$16</definedName>
    <definedName function="false" hidden="false" name="OCR_PAGE" vbProcedure="false">1_Assumptions!$C$34</definedName>
    <definedName function="false" hidden="false" name="OCR_PAGES_L" vbProcedure="false">1_Assumptions!$E$45</definedName>
    <definedName function="false" hidden="false" name="OCR_PAGES_M" vbProcedure="false">1_Assumptions!$D$45</definedName>
    <definedName function="false" hidden="false" name="OCR_PAGES_S" vbProcedure="false">1_Assumptions!$C$45</definedName>
    <definedName function="false" hidden="false" name="S3_GB_L" vbProcedure="false">1_Assumptions!$E$44</definedName>
    <definedName function="false" hidden="false" name="S3_GB_M" vbProcedure="false">1_Assumptions!$D$44</definedName>
    <definedName function="false" hidden="false" name="S3_GB_MO" vbProcedure="false">1_Assumptions!$C$17</definedName>
    <definedName function="false" hidden="false" name="S3_GB_S" vbProcedure="false">1_Assumptions!$C$44</definedName>
    <definedName function="false" hidden="false" name="SHARED_DEV" vbProcedure="false">1_Assumptions!$C$60</definedName>
    <definedName function="false" hidden="false" name="SHARED_MKT" vbProcedure="false">1_Assumptions!$C$63</definedName>
    <definedName function="false" hidden="false" name="SHARED_MO" vbProcedure="false">1_Assumptions!$C$66</definedName>
    <definedName function="false" hidden="false" name="SHARED_OBS" vbProcedure="false">1_Assumptions!$C$59</definedName>
    <definedName function="false" hidden="false" name="SHARED_OPS" vbProcedure="false">1_Assumptions!$C$61</definedName>
    <definedName function="false" hidden="false" name="SHARED_OPS_CO" vbProcedure="false">1_Assumptions!$C$64</definedName>
    <definedName function="false" hidden="false" name="SHARED_OTHER" vbProcedure="false">1_Assumptions!$C$65</definedName>
    <definedName function="false" hidden="false" name="SHARED_SEC" vbProcedure="false">1_Assumptions!$C$62</definedName>
    <definedName function="false" hidden="false" name="SITES_L" vbProcedure="false">1_Assumptions!$E$38</definedName>
    <definedName function="false" hidden="false" name="SITES_M" vbProcedure="false">1_Assumptions!$D$38</definedName>
    <definedName function="false" hidden="false" name="SITES_S" vbProcedure="false">1_Assumptions!$C$38</definedName>
    <definedName function="false" hidden="false" name="SUPPORT_HRS_L" vbProcedure="false">1_Assumptions!$E$54</definedName>
    <definedName function="false" hidden="false" name="SUPPORT_HRS_M" vbProcedure="false">1_Assumptions!$D$54</definedName>
    <definedName function="false" hidden="false" name="SUPPORT_HRS_S" vbProcedure="false">1_Assumptions!$C$54</definedName>
    <definedName function="false" hidden="false" name="TKN_BLEND_IN" vbProcedure="false">1_Assumptions!$C$31</definedName>
    <definedName function="false" hidden="false" name="TKN_BLEND_OUT" vbProcedure="false">1_Assumptions!$C$32</definedName>
    <definedName function="false" hidden="false" name="USERS_L" vbProcedure="false">1_Assumptions!$E$39</definedName>
    <definedName function="false" hidden="false" name="USERS_M" vbProcedure="false">1_Assumptions!$D$39</definedName>
    <definedName function="false" hidden="false" name="USERS_S" vbProcedure="false">1_Assumptions!$C$39</definedName>
    <definedName function="false" hidden="false" name="VLLM_HR" vbProcedure="false">1_Assumptions!$C$33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<sst xmlns="http://schemas.openxmlformats.org/spreadsheetml/2006/main" count="376" uniqueCount="283">
  <si>
    <t xml:space="preserve">Hawkeye — Unit Economics &amp; Cost Model</t>
  </si>
  <si>
    <t xml:space="preserve">How to use this workbook</t>
  </si>
  <si>
    <t xml:space="preserve">1. Open sheet 1_Assumptions. Every value in BLUE is editable — change it and the whole model recalculates.</t>
  </si>
  <si>
    <t xml:space="preserve">2. Sheet 2_Component_Costs shows three deployment models side-by-side: Multi-tenant shared (cheapest), Hybrid, Single-tenant isolated.</t>
  </si>
  <si>
    <t xml:space="preserve">3. Sheet 3_Scale_Effects shows how cost-per-customer changes as you scale from 10 → 1,000 customers, with fixed costs amortizing.</t>
  </si>
  <si>
    <t xml:space="preserve">4. Sheet 4_Margin_Analysis is the answer to 'what's the margin?' — shown at full price, Founding Customer Year 1 (free + impl), and Year 2+ (50% + passthrough).</t>
  </si>
  <si>
    <t xml:space="preserve">5. Sheet 5_Sensitivities tests what breaks the model — AI tokens 2×, support 2×, egress spike, etc.</t>
  </si>
  <si>
    <t xml:space="preserve">Color conventions</t>
  </si>
  <si>
    <t xml:space="preserve">BLUE: Hardcoded inputs (change these to model scenarios)</t>
  </si>
  <si>
    <t xml:space="preserve">BLACK: Formulas and calculations (do not edit unless you know what you're doing)</t>
  </si>
  <si>
    <t xml:space="preserve">GREEN: Cross-sheet references (e.g., Margin sheet pulling from Component Costs)</t>
  </si>
  <si>
    <t xml:space="preserve">Yellow highlight: Key assumption requiring user attention</t>
  </si>
  <si>
    <t xml:space="preserve">Key conclusions (with default assumptions)</t>
  </si>
  <si>
    <t xml:space="preserve">• Multi-tenant shared (Model A) is by far the cheapest — at default usage assumptions, Medium customer costs ~$2,000/yr variable.</t>
  </si>
  <si>
    <t xml:space="preserve">• Single-tenant isolated (Model C) costs ~3-5x more per customer — only worth it for enterprise customers paying premium prices.</t>
  </si>
  <si>
    <t xml:space="preserve">• AI inference is the single largest cost component (~40-60% of variable cost). Self-hosting open-source models in Year 2+ can cut total cost ~40%.</t>
  </si>
  <si>
    <t xml:space="preserve">• At full price (Medium customer $10,800 ACV / ~$2,000 cost), gross margin is ~80% — healthy SaaS unit economics.</t>
  </si>
  <si>
    <t xml:space="preserve">• Under Founding Customer offer: Year 1 is a loss (~$2-4K negative per customer), Year 2+ rebuilds to ~50-60% gross margin.</t>
  </si>
  <si>
    <t xml:space="preserve">• 5-year LTV per Founding Customer (Medium): ~$15-20K vs ~$25-30K at full price — discount costs ~30-40% of LTV.</t>
  </si>
  <si>
    <t xml:space="preserve">• Payback period under Founding Customer: ~6-12 months in Year 2 (positive contribution once subscription kicks in).</t>
  </si>
  <si>
    <t xml:space="preserve">• Sensitivity: most exposed to AI usage spikes; best leverage point is self-hosting AI in Year 2+.</t>
  </si>
  <si>
    <t xml:space="preserve">Honesty caveats (read before believing the numbers)</t>
  </si>
  <si>
    <t xml:space="preserve">• These are MODEL ASSUMPTIONS, not real bills. Default values use public AWS Mumbai pricing (Apr 2026), published AI rates, and industry-typical SaaS benchmarks for support and infra.</t>
  </si>
  <si>
    <t xml:space="preserve">• Actual costs will vary based on (a) reserved-instance commitments, (b) AWS Activate/startup credits (likely $5-25K free in Year 1), (c) Anthropic/OpenAI partner programs, (d) real customer usage patterns vs assumptions.</t>
  </si>
  <si>
    <t xml:space="preserve">• Real AWS bills are notoriously different from the calculator — replace these with your actual bills as they come in.</t>
  </si>
  <si>
    <t xml:space="preserve">• AI cost is the most uncertain line — depends heavily on prompt design, caching, model selection per task. The blended rate here is a reasonable average; could be 0.3x to 2x in practice.</t>
  </si>
  <si>
    <t xml:space="preserve">• Implementation hours are an estimate based on typical SaaS implementations. Pharma deployments tend to take longer due to validation; budget 30-50% more if customer is rigorous.</t>
  </si>
  <si>
    <t xml:space="preserve">• Shared platform costs grow non-linearly with team size, not customer count. The model amortizes them per customer for simplicity; in reality they step-function up at key team milestones.</t>
  </si>
  <si>
    <t xml:space="preserve">Hawkeye — Cost Model: Assumptions</t>
  </si>
  <si>
    <t xml:space="preserve">Every input below is editable. Change a value and the entire model updates. Blue = inputs you change; black = formulas; green = cross-sheet links.</t>
  </si>
  <si>
    <t xml:space="preserve">All costs in USD. INR conversion via FX rate below. Cloud assumptions = AWS Mumbai region. AI mix per stated strategy.</t>
  </si>
  <si>
    <t xml:space="preserve">Global parameters</t>
  </si>
  <si>
    <t xml:space="preserve">Parameter</t>
  </si>
  <si>
    <t xml:space="preserve">Value</t>
  </si>
  <si>
    <t xml:space="preserve">Units</t>
  </si>
  <si>
    <t xml:space="preserve">Source / notes</t>
  </si>
  <si>
    <t xml:space="preserve">USD → INR exchange rate</t>
  </si>
  <si>
    <t xml:space="preserve">₹/$</t>
  </si>
  <si>
    <t xml:space="preserve">Approx. Apr 2026 rate; revise as needed</t>
  </si>
  <si>
    <t xml:space="preserve">Discount factor (year-on-year, optional)</t>
  </si>
  <si>
    <t xml:space="preserve">%</t>
  </si>
  <si>
    <t xml:space="preserve">Not used in this model; flat USD costs</t>
  </si>
  <si>
    <t xml:space="preserve">Cloud infrastructure (AWS Mumbai, base rates)</t>
  </si>
  <si>
    <t xml:space="preserve">Value (USD)</t>
  </si>
  <si>
    <t xml:space="preserve">Source</t>
  </si>
  <si>
    <t xml:space="preserve">EC2 t3.medium on-demand (Node app worker)</t>
  </si>
  <si>
    <t xml:space="preserve">$/hr</t>
  </si>
  <si>
    <t xml:space="preserve">AWS Mumbai t3.medium 2vCPU/4GB; reserved instances cut ~30-40%</t>
  </si>
  <si>
    <t xml:space="preserve">EC2 m5.large (Python data-platform worker)</t>
  </si>
  <si>
    <t xml:space="preserve">AWS Mumbai m5.large 2vCPU/8GB</t>
  </si>
  <si>
    <t xml:space="preserve">RDS db.t3.medium (PostgreSQL if used)</t>
  </si>
  <si>
    <t xml:space="preserve">AWS Mumbai db.t3.medium</t>
  </si>
  <si>
    <t xml:space="preserve">MongoDB Atlas M10 (shared cluster, 10GB)</t>
  </si>
  <si>
    <t xml:space="preserve">Atlas M10 Mumbai; reserved 40% cheaper at $0.048/hr</t>
  </si>
  <si>
    <t xml:space="preserve">MongoDB Atlas M30 (dedicated, 40GB)</t>
  </si>
  <si>
    <t xml:space="preserve">Atlas M30 Mumbai; for isolated tenants</t>
  </si>
  <si>
    <t xml:space="preserve">S3 storage (documents, evidence)</t>
  </si>
  <si>
    <t xml:space="preserve">$/GB/mo</t>
  </si>
  <si>
    <t xml:space="preserve">AWS Mumbai S3 standard</t>
  </si>
  <si>
    <t xml:space="preserve">S3 GET requests (per 1000)</t>
  </si>
  <si>
    <t xml:space="preserve">$/1K req</t>
  </si>
  <si>
    <t xml:space="preserve">AWS Mumbai S3</t>
  </si>
  <si>
    <t xml:space="preserve">Data egress (downloads, exports)</t>
  </si>
  <si>
    <t xml:space="preserve">$/GB</t>
  </si>
  <si>
    <t xml:space="preserve">AWS Mumbai outbound; tiered, average rate</t>
  </si>
  <si>
    <t xml:space="preserve">CloudWatch logs + metrics</t>
  </si>
  <si>
    <t xml:space="preserve">$/GB ingested</t>
  </si>
  <si>
    <t xml:space="preserve">AWS Mumbai CW logs</t>
  </si>
  <si>
    <t xml:space="preserve">Backup storage (snapshots, cross-region)</t>
  </si>
  <si>
    <t xml:space="preserve">AWS Mumbai snapshot rate</t>
  </si>
  <si>
    <t xml:space="preserve">AI / LLM costs (multi-LLM mix per strategy)</t>
  </si>
  <si>
    <t xml:space="preserve">Claude Sonnet input tokens</t>
  </si>
  <si>
    <t xml:space="preserve">$/M tokens</t>
  </si>
  <si>
    <t xml:space="preserve">Anthropic public price, Apr 2026</t>
  </si>
  <si>
    <t xml:space="preserve">Claude Sonnet output tokens</t>
  </si>
  <si>
    <t xml:space="preserve">Anthropic public price</t>
  </si>
  <si>
    <t xml:space="preserve">GPT-4o input tokens (heavy synthesis)</t>
  </si>
  <si>
    <t xml:space="preserve">OpenAI public price</t>
  </si>
  <si>
    <t xml:space="preserve">GPT-4o output tokens</t>
  </si>
  <si>
    <t xml:space="preserve">Gemini Pro input tokens (extract/classify)</t>
  </si>
  <si>
    <t xml:space="preserve">Google AI Studio public price</t>
  </si>
  <si>
    <t xml:space="preserve">Gemini Pro output tokens</t>
  </si>
  <si>
    <t xml:space="preserve">Blended input cost (mix per strategy)</t>
  </si>
  <si>
    <t xml:space="preserve">70% Gemini extract + 20% Claude reason + 10% GPT synth, weighted</t>
  </si>
  <si>
    <t xml:space="preserve">Blended output cost</t>
  </si>
  <si>
    <t xml:space="preserve">Same mix, weighted</t>
  </si>
  <si>
    <t xml:space="preserve">Self-hosted vLLM inference (A10G GPU, Year 2+)</t>
  </si>
  <si>
    <t xml:space="preserve">AWS Mumbai g5.xlarge spot; tuned Llama-3 8B</t>
  </si>
  <si>
    <t xml:space="preserve">Document OCR / parsing</t>
  </si>
  <si>
    <t xml:space="preserve">$/page</t>
  </si>
  <si>
    <t xml:space="preserve">AWS Textract / Mistral OCR / open-source mix</t>
  </si>
  <si>
    <t xml:space="preserve">Per-customer usage profiles (drives variable cost)</t>
  </si>
  <si>
    <t xml:space="preserve">Small</t>
  </si>
  <si>
    <t xml:space="preserve">Medium</t>
  </si>
  <si>
    <t xml:space="preserve">Large</t>
  </si>
  <si>
    <t xml:space="preserve">Sites</t>
  </si>
  <si>
    <t xml:space="preserve">Named full-edit users</t>
  </si>
  <si>
    <t xml:space="preserve">Read-only viewer seats (free)</t>
  </si>
  <si>
    <t xml:space="preserve">Audits / year (the main workload)</t>
  </si>
  <si>
    <t xml:space="preserve">Deviations / quality events per year</t>
  </si>
  <si>
    <t xml:space="preserve">Database storage</t>
  </si>
  <si>
    <t xml:space="preserve">GB</t>
  </si>
  <si>
    <t xml:space="preserve">Document storage (S3)</t>
  </si>
  <si>
    <t xml:space="preserve">Documents / pages OCR'd per year</t>
  </si>
  <si>
    <t xml:space="preserve">AI tokens consumed / year (input)</t>
  </si>
  <si>
    <t xml:space="preserve">tokens</t>
  </si>
  <si>
    <t xml:space="preserve">AI tokens generated / year (output)</t>
  </si>
  <si>
    <t xml:space="preserve">Data egress / year (downloads, reports)</t>
  </si>
  <si>
    <t xml:space="preserve">Support, onboarding, and customer-success cost</t>
  </si>
  <si>
    <t xml:space="preserve">Customer success manager loaded cost (India)</t>
  </si>
  <si>
    <t xml:space="preserve">₹1500/hr fully loaded; mid-level CSM in India</t>
  </si>
  <si>
    <t xml:space="preserve">Engineering support cost (India)</t>
  </si>
  <si>
    <t xml:space="preserve">₹3000/hr fully loaded; senior engineer</t>
  </si>
  <si>
    <t xml:space="preserve">Support hours per small customer / year</t>
  </si>
  <si>
    <t xml:space="preserve">Implementation hours (one-time)</t>
  </si>
  <si>
    <t xml:space="preserve">Shared platform costs (fixed; amortized across customer base)</t>
  </si>
  <si>
    <t xml:space="preserve">Value ($/mo)</t>
  </si>
  <si>
    <t xml:space="preserve">Datadog / Sentry / observability</t>
  </si>
  <si>
    <t xml:space="preserve">$/mo</t>
  </si>
  <si>
    <t xml:space="preserve">Mid-tier APM + error tracking; scales with infra</t>
  </si>
  <si>
    <t xml:space="preserve">Engineering tools (GitHub, Linear, CI/CD)</t>
  </si>
  <si>
    <t xml:space="preserve">10-15 seats avg</t>
  </si>
  <si>
    <t xml:space="preserve">SaaS subscriptions (Slack, Notion, design)</t>
  </si>
  <si>
    <t xml:space="preserve">Security tools (vuln scan, SOC2 controls)</t>
  </si>
  <si>
    <t xml:space="preserve">Drata/Vanta + Snyk + tooling</t>
  </si>
  <si>
    <t xml:space="preserve">Marketing infra (CRM, email, analytics)</t>
  </si>
  <si>
    <t xml:space="preserve">HubSpot Starter + email + analytics</t>
  </si>
  <si>
    <t xml:space="preserve">Office, legal, accounting (India ops)</t>
  </si>
  <si>
    <t xml:space="preserve">₹1.25L/mo for early-stage; growing</t>
  </si>
  <si>
    <t xml:space="preserve">Other (insurance, misc)</t>
  </si>
  <si>
    <t xml:space="preserve">D&amp;O insurance, general overhead</t>
  </si>
  <si>
    <t xml:space="preserve">Total shared monthly cost</t>
  </si>
  <si>
    <t xml:space="preserve">Pricing (what we charge)</t>
  </si>
  <si>
    <t xml:space="preserve">Annual contract value (ACV) — full price</t>
  </si>
  <si>
    <t xml:space="preserve">Implementation fee (one-time)</t>
  </si>
  <si>
    <t xml:space="preserve">Founding Customer Yr 1 discount on ACV</t>
  </si>
  <si>
    <t xml:space="preserve">100% off = free</t>
  </si>
  <si>
    <t xml:space="preserve">Founding Customer Yr 2+ discount on ACV</t>
  </si>
  <si>
    <t xml:space="preserve">50% off</t>
  </si>
  <si>
    <t xml:space="preserve">Per-customer cost build — by component, by size</t>
  </si>
  <si>
    <t xml:space="preserve">Annual cost to serve ONE customer, broken down by infra component. Three sizes side-by-side.</t>
  </si>
  <si>
    <t xml:space="preserve">All values formulas pulling from 1_Assumptions. Change any input there → updates here.</t>
  </si>
  <si>
    <t xml:space="preserve">Model A: Multi-tenant shared infrastructure (default)</t>
  </si>
  <si>
    <t xml:space="preserve">Cost line</t>
  </si>
  <si>
    <t xml:space="preserve">Small ($/yr)</t>
  </si>
  <si>
    <t xml:space="preserve">Medium ($/yr)</t>
  </si>
  <si>
    <t xml:space="preserve">Large ($/yr)</t>
  </si>
  <si>
    <t xml:space="preserve">How calculated</t>
  </si>
  <si>
    <t xml:space="preserve">MongoDB Atlas (shared M30 cluster, prorated)</t>
  </si>
  <si>
    <t xml:space="preserve">One M30 cluster (200GB capacity) shared; prorated by tenant DB size</t>
  </si>
  <si>
    <t xml:space="preserve">Compute — Node app (shared, prorated by audits)</t>
  </si>
  <si>
    <t xml:space="preserve">2 t3.medium workers, prorated; assumes 600 audits/yr total tenant load reference</t>
  </si>
  <si>
    <t xml:space="preserve">Compute — Python data-platform (shared)</t>
  </si>
  <si>
    <t xml:space="preserve">2 m5.large workers, prorated by OCR pages processed</t>
  </si>
  <si>
    <t xml:space="preserve">S3 object storage (documents, evidence)</t>
  </si>
  <si>
    <t xml:space="preserve">Standard tier; lifecycle to IA after 90d would cut ~40%</t>
  </si>
  <si>
    <t xml:space="preserve">DB full + 30% of S3 (incremental); cross-region replication</t>
  </si>
  <si>
    <t xml:space="preserve">Reports, audit exports, PDF downloads</t>
  </si>
  <si>
    <t xml:space="preserve">Observability (logs + metrics, prorated)</t>
  </si>
  <si>
    <t xml:space="preserve">Estimated CloudWatch + Datadog per-tenant logs</t>
  </si>
  <si>
    <t xml:space="preserve">AI inference — frontier APIs (mix per strategy)</t>
  </si>
  <si>
    <t xml:space="preserve">Weighted mix: 70% Gemini, 20% Claude, 10% GPT</t>
  </si>
  <si>
    <t xml:space="preserve">Textract / Mistral OCR / open-source mix</t>
  </si>
  <si>
    <t xml:space="preserve">Customer success &amp; support (annual)</t>
  </si>
  <si>
    <t xml:space="preserve">CSM time + 20% engineering escalation</t>
  </si>
  <si>
    <t xml:space="preserve">Annual variable cost to serve (Model A)</t>
  </si>
  <si>
    <t xml:space="preserve">Model B: Hybrid (Small/Medium on shared, Large on dedicated)</t>
  </si>
  <si>
    <t xml:space="preserve">MongoDB (S/M shared, L dedicated M30)</t>
  </si>
  <si>
    <t xml:space="preserve">L gets dedicated M30; S/M share</t>
  </si>
  <si>
    <t xml:space="preserve">Compute — Node app</t>
  </si>
  <si>
    <t xml:space="preserve">L gets dedicated workers</t>
  </si>
  <si>
    <t xml:space="preserve">Compute — Python data-platform</t>
  </si>
  <si>
    <t xml:space="preserve">S3 + backup + egress (same as Model A)</t>
  </si>
  <si>
    <t xml:space="preserve">Same as Model A (object storage is per-tenant either way)</t>
  </si>
  <si>
    <t xml:space="preserve">Observability (higher for L due to dedicated)</t>
  </si>
  <si>
    <t xml:space="preserve">L incurs separate APM instance</t>
  </si>
  <si>
    <t xml:space="preserve">AI inference (same as Model A)</t>
  </si>
  <si>
    <t xml:space="preserve">AI cost is usage-based regardless of infra model</t>
  </si>
  <si>
    <t xml:space="preserve">OCR (same as Model A)</t>
  </si>
  <si>
    <t xml:space="preserve">Same</t>
  </si>
  <si>
    <t xml:space="preserve">Support (slightly higher for dedicated L)</t>
  </si>
  <si>
    <t xml:space="preserve">L has 30% eng escalation vs 20%</t>
  </si>
  <si>
    <t xml:space="preserve">Annual variable cost to serve (Model B)</t>
  </si>
  <si>
    <t xml:space="preserve">Model C: Single-tenant isolated (every customer gets own cluster)</t>
  </si>
  <si>
    <t xml:space="preserve">MongoDB Atlas (dedicated M30 each)</t>
  </si>
  <si>
    <t xml:space="preserve">Smallest dedicated tier; same baseline regardless of size</t>
  </si>
  <si>
    <t xml:space="preserve">Compute — Node app (dedicated)</t>
  </si>
  <si>
    <t xml:space="preserve">2-3 dedicated workers per tenant</t>
  </si>
  <si>
    <t xml:space="preserve">Compute — Python data-platform (dedicated)</t>
  </si>
  <si>
    <t xml:space="preserve">Dedicated workers</t>
  </si>
  <si>
    <t xml:space="preserve">S3 + backup + egress (same)</t>
  </si>
  <si>
    <t xml:space="preserve">Same as Model A</t>
  </si>
  <si>
    <t xml:space="preserve">Observability (separate instance per tenant)</t>
  </si>
  <si>
    <t xml:space="preserve">Independent APM per tenant</t>
  </si>
  <si>
    <t xml:space="preserve">AI inference (same)</t>
  </si>
  <si>
    <t xml:space="preserve">OCR (same)</t>
  </si>
  <si>
    <t xml:space="preserve">Support (higher — isolated needs more eng touch)</t>
  </si>
  <si>
    <t xml:space="preserve">40-50% eng touch for isolated deploys</t>
  </si>
  <si>
    <t xml:space="preserve">Annual variable cost to serve (Model C)</t>
  </si>
  <si>
    <t xml:space="preserve">Side-by-side comparison: variable cost-to-serve / customer / year</t>
  </si>
  <si>
    <t xml:space="preserve">Model</t>
  </si>
  <si>
    <t xml:space="preserve">Notes</t>
  </si>
  <si>
    <t xml:space="preserve">Model A — Multi-tenant shared</t>
  </si>
  <si>
    <t xml:space="preserve">Cheapest; standard SMB SaaS approach</t>
  </si>
  <si>
    <t xml:space="preserve">Model B — Hybrid (S/M shared, L dedicated)</t>
  </si>
  <si>
    <t xml:space="preserve">Realistic mid-stage state</t>
  </si>
  <si>
    <t xml:space="preserve">Model C — Single-tenant isolated</t>
  </si>
  <si>
    <t xml:space="preserve">Most expensive; required for regulated / on-prem-equivalent customers</t>
  </si>
  <si>
    <t xml:space="preserve">Cost per customer at scale — fixed costs amortizing</t>
  </si>
  <si>
    <t xml:space="preserve">As you add customers, the fixed shared platform costs (observability, security, marketing, ops) spread thinner per customer. Variable cost-to-serve stays constant per customer.</t>
  </si>
  <si>
    <t xml:space="preserve">Customer counts</t>
  </si>
  <si>
    <t xml:space="preserve">Customer mix assumption (% small / medium / large)</t>
  </si>
  <si>
    <t xml:space="preserve">% small (Tier 4 SME)</t>
  </si>
  <si>
    <t xml:space="preserve">% medium (Tier 3 CDMO / Tier 2 mid-pharma)</t>
  </si>
  <si>
    <t xml:space="preserve">% large (Tier 2 large + multi-site)</t>
  </si>
  <si>
    <t xml:space="preserve">Check sum (must equal 100%)</t>
  </si>
  <si>
    <t xml:space="preserve">Blended variable cost / customer / year</t>
  </si>
  <si>
    <t xml:space="preserve">Total variable cost (all customers)</t>
  </si>
  <si>
    <t xml:space="preserve">Shared fixed cost / year (from Assumptions)</t>
  </si>
  <si>
    <t xml:space="preserve">Shared fixed cost / customer / year</t>
  </si>
  <si>
    <t xml:space="preserve">TOTAL cost / customer / year (blended)</t>
  </si>
  <si>
    <t xml:space="preserve">Model B — Hybrid</t>
  </si>
  <si>
    <t xml:space="preserve">Margin analysis — revenue vs cost-to-serve, per customer</t>
  </si>
  <si>
    <t xml:space="preserve">Pricing tiers analyzed: Full Price, Founding Customer Year 1, Founding Customer Year 2+. Cost basis: Model A (shared) — adjust to B or C as needed.</t>
  </si>
  <si>
    <t xml:space="preserve">Full price (Year 2+ for non-Founding Customers)</t>
  </si>
  <si>
    <t xml:space="preserve">Annual revenue (ACV)</t>
  </si>
  <si>
    <t xml:space="preserve">From 1_Assumptions</t>
  </si>
  <si>
    <t xml:space="preserve">Variable cost to serve (Model A shared)</t>
  </si>
  <si>
    <t xml:space="preserve">Pulled from 2_Component_Costs Model A</t>
  </si>
  <si>
    <t xml:space="preserve">Gross profit (before shared fixed)</t>
  </si>
  <si>
    <t xml:space="preserve">Gross margin %</t>
  </si>
  <si>
    <t xml:space="preserve">Before shared fixed cost allocation</t>
  </si>
  <si>
    <t xml:space="preserve">Founding Customer — Year 1 (software free; impl fee only)</t>
  </si>
  <si>
    <t xml:space="preserve">Annual software subscription revenue</t>
  </si>
  <si>
    <t xml:space="preserve">FC Y1 discount = 100% → free</t>
  </si>
  <si>
    <t xml:space="preserve">Implementation fee revenue (one-time)</t>
  </si>
  <si>
    <t xml:space="preserve">Customer pays for setup</t>
  </si>
  <si>
    <t xml:space="preserve">Total Year 1 revenue</t>
  </si>
  <si>
    <t xml:space="preserve">Variable cost to serve (Year 1)</t>
  </si>
  <si>
    <t xml:space="preserve">Implementation cost (one-time)</t>
  </si>
  <si>
    <t xml:space="preserve">Engineering hours × loaded cost</t>
  </si>
  <si>
    <t xml:space="preserve">Total Year 1 cost</t>
  </si>
  <si>
    <t xml:space="preserve">Year 1 gross profit / (loss)</t>
  </si>
  <si>
    <t xml:space="preserve">Will be negative — acquisition cost</t>
  </si>
  <si>
    <t xml:space="preserve">Founding Customer — Year 2+ (50% software + cost-of-serve passthrough)</t>
  </si>
  <si>
    <t xml:space="preserve">Software subscription revenue (50% of full)</t>
  </si>
  <si>
    <t xml:space="preserve">Infrastructure passthrough revenue (variable cost)</t>
  </si>
  <si>
    <t xml:space="preserve">Customer pays cost-of-serve directly</t>
  </si>
  <si>
    <t xml:space="preserve">Total annual revenue (Year 2+)</t>
  </si>
  <si>
    <t xml:space="preserve">Variable cost to serve</t>
  </si>
  <si>
    <t xml:space="preserve">Gross profit (Year 2+)</t>
  </si>
  <si>
    <t xml:space="preserve">Lifetime value / payback summary (Founding Customer path)</t>
  </si>
  <si>
    <t xml:space="preserve">Assumes 5-year customer lifetime</t>
  </si>
  <si>
    <t xml:space="preserve">Year 1 net (acquisition loss)</t>
  </si>
  <si>
    <t xml:space="preserve">Year 2-5 cumulative gross profit (4 years × FC Y2+ rate)</t>
  </si>
  <si>
    <t xml:space="preserve">5-year customer lifetime value (gross)</t>
  </si>
  <si>
    <t xml:space="preserve">Effective payback period (months)</t>
  </si>
  <si>
    <t xml:space="preserve">When does FC customer become profitable</t>
  </si>
  <si>
    <t xml:space="preserve">Sensitivity analysis — what breaks the model</t>
  </si>
  <si>
    <t xml:space="preserve">Each row shifts ONE assumption. Annual variable cost for Medium customer shown. Compare against base case to see exposure.</t>
  </si>
  <si>
    <t xml:space="preserve">Scenario</t>
  </si>
  <si>
    <t xml:space="preserve">Variable cost (Medium)</t>
  </si>
  <si>
    <t xml:space="preserve">Δ vs base</t>
  </si>
  <si>
    <t xml:space="preserve">Δ %</t>
  </si>
  <si>
    <t xml:space="preserve">BASE CASE (Model A multi-tenant, planned usage)</t>
  </si>
  <si>
    <t xml:space="preserve">AI tokens 2× (heavy AI adoption)</t>
  </si>
  <si>
    <t xml:space="preserve">AI usage doubles — most common upside risk</t>
  </si>
  <si>
    <t xml:space="preserve">AI tokens 0.5× (light adoption)</t>
  </si>
  <si>
    <t xml:space="preserve">Customer underuses AI features</t>
  </si>
  <si>
    <t xml:space="preserve">Cloud egress spike (3× downloads)</t>
  </si>
  <si>
    <t xml:space="preserve">Heavy export usage, regulator submissions</t>
  </si>
  <si>
    <t xml:space="preserve">Support load 2× (high-touch customer)</t>
  </si>
  <si>
    <t xml:space="preserve">Customer needs hand-holding; bad-fit</t>
  </si>
  <si>
    <t xml:space="preserve">Database growth 3× (data hoarder)</t>
  </si>
  <si>
    <t xml:space="preserve">Customer retains every record, never archives</t>
  </si>
  <si>
    <t xml:space="preserve">Self-hosted AI deployment (Yr 2+)</t>
  </si>
  <si>
    <t xml:space="preserve">Move 70% of AI to self-hosted vLLM; reduces blended cost ~40%</t>
  </si>
  <si>
    <t xml:space="preserve">Reserved-instance pricing (40% off compute)</t>
  </si>
  <si>
    <t xml:space="preserve">Once stable workload, commit to RI; cuts ~15% of total</t>
  </si>
  <si>
    <t xml:space="preserve">Cloud egress hits 10× (data export bulk)</t>
  </si>
  <si>
    <t xml:space="preserve">Worst-case mass-export event</t>
  </si>
  <si>
    <t xml:space="preserve">Customer churns at 6 months</t>
  </si>
  <si>
    <t xml:space="preserve">Half the cost (less variable usage); but lose CAC investment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</si>
</sst>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\$#,##0.00;&quot;($&quot;#,##0.00\);\-"/>
    <numFmt numFmtId="168" formatCode="\$#,##0;&quot;($&quot;#,##0\);\-"/>
    <numFmt numFmtId="169" formatCode="#,##0.00;\(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40AF"/>
      <name val="Arial"/>
      <family val="0"/>
      <charset val="1"/>
    </font>
    <font>
      <b val="true"/>
      <sz val="11"/>
      <color rgb="FF1E40A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E40A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F172A"/>
        <bgColor rgb="FF000000"/>
      </patternFill>
    </fill>
    <fill>
      <patternFill patternType="solid">
        <fgColor rgb="FFEFF6FF"/>
        <bgColor rgb="FFF5F3FF"/>
      </patternFill>
    </fill>
    <fill>
      <patternFill patternType="solid">
        <fgColor rgb="FFF5F3FF"/>
        <bgColor rgb="FFEFF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FF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3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23.85" hidden="false" customHeight="false" outlineLevel="0" collapsed="false">
      <c r="B7" s="4" t="s">
        <v>3</v>
      </c>
    </row>
    <row r="8" customFormat="false" ht="23.85" hidden="false" customHeight="false" outlineLevel="0" collapsed="false">
      <c r="B8" s="4" t="s">
        <v>4</v>
      </c>
    </row>
    <row r="9" customFormat="false" ht="23.8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3"/>
    </row>
    <row r="13" customFormat="false" ht="15" hidden="false" customHeight="false" outlineLevel="0" collapsed="false">
      <c r="B13" s="2" t="s">
        <v>7</v>
      </c>
    </row>
    <row r="14" customFormat="false" ht="15" hidden="false" customHeight="false" outlineLevel="0" collapsed="false">
      <c r="B14" s="5" t="s">
        <v>8</v>
      </c>
    </row>
    <row r="15" customFormat="false" ht="15" hidden="false" customHeight="false" outlineLevel="0" collapsed="false">
      <c r="B15" s="5" t="s">
        <v>9</v>
      </c>
    </row>
    <row r="16" customFormat="false" ht="15" hidden="false" customHeight="false" outlineLevel="0" collapsed="false">
      <c r="B16" s="5" t="s">
        <v>10</v>
      </c>
    </row>
    <row r="17" customFormat="false" ht="15" hidden="false" customHeight="false" outlineLevel="0" collapsed="false">
      <c r="B17" s="5" t="s">
        <v>11</v>
      </c>
    </row>
    <row r="19" customFormat="false" ht="15" hidden="false" customHeight="false" outlineLevel="0" collapsed="false">
      <c r="B19" s="2" t="s">
        <v>12</v>
      </c>
    </row>
    <row r="20" customFormat="false" ht="23.85" hidden="false" customHeight="false" outlineLevel="0" collapsed="false">
      <c r="B20" s="4" t="s">
        <v>13</v>
      </c>
    </row>
    <row r="21" customFormat="false" ht="23.85" hidden="false" customHeight="false" outlineLevel="0" collapsed="false">
      <c r="B21" s="4" t="s">
        <v>14</v>
      </c>
    </row>
    <row r="22" customFormat="false" ht="23.85" hidden="false" customHeight="false" outlineLevel="0" collapsed="false">
      <c r="B22" s="4" t="s">
        <v>15</v>
      </c>
    </row>
    <row r="23" customFormat="false" ht="15" hidden="false" customHeight="false" outlineLevel="0" collapsed="false">
      <c r="B23" s="4" t="s">
        <v>16</v>
      </c>
    </row>
    <row r="24" customFormat="false" ht="23.85" hidden="false" customHeight="false" outlineLevel="0" collapsed="false">
      <c r="B24" s="4" t="s">
        <v>17</v>
      </c>
    </row>
    <row r="25" customFormat="false" ht="15" hidden="false" customHeight="false" outlineLevel="0" collapsed="false">
      <c r="B25" s="4" t="s">
        <v>18</v>
      </c>
    </row>
    <row r="26" customFormat="false" ht="15" hidden="false" customHeight="false" outlineLevel="0" collapsed="false">
      <c r="B26" s="4" t="s">
        <v>19</v>
      </c>
    </row>
    <row r="27" customFormat="false" ht="15" hidden="false" customHeight="false" outlineLevel="0" collapsed="false">
      <c r="B27" s="4" t="s">
        <v>20</v>
      </c>
    </row>
    <row r="29" customFormat="false" ht="15" hidden="false" customHeight="false" outlineLevel="0" collapsed="false">
      <c r="B29" s="2" t="s">
        <v>21</v>
      </c>
    </row>
    <row r="30" customFormat="false" ht="22.35" hidden="false" customHeight="false" outlineLevel="0" collapsed="false">
      <c r="B30" s="3" t="s">
        <v>22</v>
      </c>
    </row>
    <row r="31" customFormat="false" ht="22.35" hidden="false" customHeight="false" outlineLevel="0" collapsed="false">
      <c r="B31" s="3" t="s">
        <v>23</v>
      </c>
    </row>
    <row r="32" customFormat="false" ht="15" hidden="false" customHeight="false" outlineLevel="0" collapsed="false">
      <c r="B32" s="3" t="s">
        <v>24</v>
      </c>
    </row>
    <row r="33" customFormat="false" ht="22.35" hidden="false" customHeight="false" outlineLevel="0" collapsed="false">
      <c r="B33" s="3" t="s">
        <v>25</v>
      </c>
    </row>
    <row r="34" customFormat="false" ht="22.35" hidden="false" customHeight="false" outlineLevel="0" collapsed="false">
      <c r="B34" s="3" t="s">
        <v>26</v>
      </c>
    </row>
    <row r="35" customFormat="false" ht="22.35" hidden="false" customHeight="false" outlineLevel="0" collapsed="false">
      <c r="B35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5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70"/>
  </cols>
  <sheetData>
    <row r="1" customFormat="false" ht="17.35" hidden="false" customHeight="false" outlineLevel="0" collapsed="false">
      <c r="B1" s="6" t="s">
        <v>28</v>
      </c>
    </row>
    <row r="2" customFormat="false" ht="15" hidden="false" customHeight="false" outlineLevel="0" collapsed="false">
      <c r="B2" s="7" t="s">
        <v>29</v>
      </c>
      <c r="C2" s="7"/>
      <c r="D2" s="7"/>
      <c r="E2" s="7"/>
    </row>
    <row r="3" customFormat="false" ht="15" hidden="false" customHeight="false" outlineLevel="0" collapsed="false">
      <c r="B3" s="7" t="s">
        <v>30</v>
      </c>
      <c r="C3" s="7"/>
      <c r="D3" s="7"/>
      <c r="E3" s="7"/>
    </row>
    <row r="5" customFormat="false" ht="15" hidden="false" customHeight="false" outlineLevel="0" collapsed="false">
      <c r="B5" s="8" t="s">
        <v>31</v>
      </c>
      <c r="C5" s="8"/>
      <c r="D5" s="8"/>
      <c r="E5" s="8"/>
    </row>
    <row r="6" customFormat="false" ht="15" hidden="false" customHeight="false" outlineLevel="0" collapsed="false">
      <c r="B6" s="9" t="s">
        <v>32</v>
      </c>
      <c r="C6" s="10" t="s">
        <v>33</v>
      </c>
      <c r="D6" s="10" t="s">
        <v>34</v>
      </c>
      <c r="E6" s="10" t="s">
        <v>35</v>
      </c>
    </row>
    <row r="7" customFormat="false" ht="15" hidden="false" customHeight="false" outlineLevel="0" collapsed="false">
      <c r="B7" s="5" t="s">
        <v>36</v>
      </c>
      <c r="C7" s="11" t="n">
        <v>84</v>
      </c>
      <c r="D7" s="12" t="s">
        <v>37</v>
      </c>
      <c r="E7" s="12" t="s">
        <v>38</v>
      </c>
    </row>
    <row r="8" customFormat="false" ht="15" hidden="false" customHeight="false" outlineLevel="0" collapsed="false">
      <c r="B8" s="5" t="s">
        <v>39</v>
      </c>
      <c r="C8" s="13" t="n">
        <v>0</v>
      </c>
      <c r="D8" s="12" t="s">
        <v>40</v>
      </c>
      <c r="E8" s="12" t="s">
        <v>41</v>
      </c>
    </row>
    <row r="10" customFormat="false" ht="15" hidden="false" customHeight="false" outlineLevel="0" collapsed="false">
      <c r="B10" s="8" t="s">
        <v>42</v>
      </c>
      <c r="C10" s="8"/>
      <c r="D10" s="8"/>
      <c r="E10" s="8"/>
    </row>
    <row r="11" customFormat="false" ht="15" hidden="false" customHeight="false" outlineLevel="0" collapsed="false">
      <c r="B11" s="9" t="s">
        <v>32</v>
      </c>
      <c r="C11" s="10" t="s">
        <v>43</v>
      </c>
      <c r="D11" s="10" t="s">
        <v>34</v>
      </c>
      <c r="E11" s="10" t="s">
        <v>44</v>
      </c>
    </row>
    <row r="12" customFormat="false" ht="15" hidden="false" customHeight="false" outlineLevel="0" collapsed="false">
      <c r="B12" s="5" t="s">
        <v>45</v>
      </c>
      <c r="C12" s="14" t="n">
        <v>0.0496</v>
      </c>
      <c r="D12" s="12" t="s">
        <v>46</v>
      </c>
      <c r="E12" s="12" t="s">
        <v>47</v>
      </c>
    </row>
    <row r="13" customFormat="false" ht="15" hidden="false" customHeight="false" outlineLevel="0" collapsed="false">
      <c r="B13" s="5" t="s">
        <v>48</v>
      </c>
      <c r="C13" s="14" t="n">
        <v>0.105</v>
      </c>
      <c r="D13" s="12" t="s">
        <v>46</v>
      </c>
      <c r="E13" s="12" t="s">
        <v>49</v>
      </c>
    </row>
    <row r="14" customFormat="false" ht="15" hidden="false" customHeight="false" outlineLevel="0" collapsed="false">
      <c r="B14" s="5" t="s">
        <v>50</v>
      </c>
      <c r="C14" s="14" t="n">
        <v>0.0936</v>
      </c>
      <c r="D14" s="12" t="s">
        <v>46</v>
      </c>
      <c r="E14" s="12" t="s">
        <v>51</v>
      </c>
    </row>
    <row r="15" customFormat="false" ht="15" hidden="false" customHeight="false" outlineLevel="0" collapsed="false">
      <c r="B15" s="5" t="s">
        <v>52</v>
      </c>
      <c r="C15" s="14" t="n">
        <v>0.08</v>
      </c>
      <c r="D15" s="12" t="s">
        <v>46</v>
      </c>
      <c r="E15" s="12" t="s">
        <v>53</v>
      </c>
    </row>
    <row r="16" customFormat="false" ht="15" hidden="false" customHeight="false" outlineLevel="0" collapsed="false">
      <c r="B16" s="5" t="s">
        <v>54</v>
      </c>
      <c r="C16" s="14" t="n">
        <v>0.54</v>
      </c>
      <c r="D16" s="12" t="s">
        <v>46</v>
      </c>
      <c r="E16" s="12" t="s">
        <v>55</v>
      </c>
    </row>
    <row r="17" customFormat="false" ht="15" hidden="false" customHeight="false" outlineLevel="0" collapsed="false">
      <c r="B17" s="5" t="s">
        <v>56</v>
      </c>
      <c r="C17" s="14" t="n">
        <v>0.025</v>
      </c>
      <c r="D17" s="12" t="s">
        <v>57</v>
      </c>
      <c r="E17" s="12" t="s">
        <v>58</v>
      </c>
    </row>
    <row r="18" customFormat="false" ht="15" hidden="false" customHeight="false" outlineLevel="0" collapsed="false">
      <c r="B18" s="5" t="s">
        <v>59</v>
      </c>
      <c r="C18" s="14" t="n">
        <v>0.0004</v>
      </c>
      <c r="D18" s="12" t="s">
        <v>60</v>
      </c>
      <c r="E18" s="12" t="s">
        <v>61</v>
      </c>
    </row>
    <row r="19" customFormat="false" ht="15" hidden="false" customHeight="false" outlineLevel="0" collapsed="false">
      <c r="B19" s="5" t="s">
        <v>62</v>
      </c>
      <c r="C19" s="14" t="n">
        <v>0.09</v>
      </c>
      <c r="D19" s="12" t="s">
        <v>63</v>
      </c>
      <c r="E19" s="12" t="s">
        <v>64</v>
      </c>
    </row>
    <row r="20" customFormat="false" ht="15" hidden="false" customHeight="false" outlineLevel="0" collapsed="false">
      <c r="B20" s="5" t="s">
        <v>65</v>
      </c>
      <c r="C20" s="14" t="n">
        <v>0.5</v>
      </c>
      <c r="D20" s="12" t="s">
        <v>66</v>
      </c>
      <c r="E20" s="12" t="s">
        <v>67</v>
      </c>
    </row>
    <row r="21" customFormat="false" ht="15" hidden="false" customHeight="false" outlineLevel="0" collapsed="false">
      <c r="B21" s="5" t="s">
        <v>68</v>
      </c>
      <c r="C21" s="14" t="n">
        <v>0.05</v>
      </c>
      <c r="D21" s="12" t="s">
        <v>57</v>
      </c>
      <c r="E21" s="12" t="s">
        <v>69</v>
      </c>
    </row>
    <row r="23" customFormat="false" ht="15" hidden="false" customHeight="false" outlineLevel="0" collapsed="false">
      <c r="B23" s="8" t="s">
        <v>70</v>
      </c>
      <c r="C23" s="8"/>
      <c r="D23" s="8"/>
      <c r="E23" s="8"/>
    </row>
    <row r="24" customFormat="false" ht="15" hidden="false" customHeight="false" outlineLevel="0" collapsed="false">
      <c r="B24" s="9" t="s">
        <v>32</v>
      </c>
      <c r="C24" s="10" t="s">
        <v>43</v>
      </c>
      <c r="D24" s="10" t="s">
        <v>34</v>
      </c>
      <c r="E24" s="10" t="s">
        <v>44</v>
      </c>
    </row>
    <row r="25" customFormat="false" ht="15" hidden="false" customHeight="false" outlineLevel="0" collapsed="false">
      <c r="B25" s="5" t="s">
        <v>71</v>
      </c>
      <c r="C25" s="14" t="n">
        <v>3</v>
      </c>
      <c r="D25" s="12" t="s">
        <v>72</v>
      </c>
      <c r="E25" s="12" t="s">
        <v>73</v>
      </c>
    </row>
    <row r="26" customFormat="false" ht="15" hidden="false" customHeight="false" outlineLevel="0" collapsed="false">
      <c r="B26" s="5" t="s">
        <v>74</v>
      </c>
      <c r="C26" s="14" t="n">
        <v>15</v>
      </c>
      <c r="D26" s="12" t="s">
        <v>72</v>
      </c>
      <c r="E26" s="12" t="s">
        <v>75</v>
      </c>
    </row>
    <row r="27" customFormat="false" ht="15" hidden="false" customHeight="false" outlineLevel="0" collapsed="false">
      <c r="B27" s="5" t="s">
        <v>76</v>
      </c>
      <c r="C27" s="14" t="n">
        <v>2.5</v>
      </c>
      <c r="D27" s="12" t="s">
        <v>72</v>
      </c>
      <c r="E27" s="12" t="s">
        <v>77</v>
      </c>
    </row>
    <row r="28" customFormat="false" ht="15" hidden="false" customHeight="false" outlineLevel="0" collapsed="false">
      <c r="B28" s="5" t="s">
        <v>78</v>
      </c>
      <c r="C28" s="14" t="n">
        <v>10</v>
      </c>
      <c r="D28" s="12" t="s">
        <v>72</v>
      </c>
      <c r="E28" s="12" t="s">
        <v>77</v>
      </c>
    </row>
    <row r="29" customFormat="false" ht="15" hidden="false" customHeight="false" outlineLevel="0" collapsed="false">
      <c r="B29" s="5" t="s">
        <v>79</v>
      </c>
      <c r="C29" s="14" t="n">
        <v>1.25</v>
      </c>
      <c r="D29" s="12" t="s">
        <v>72</v>
      </c>
      <c r="E29" s="12" t="s">
        <v>80</v>
      </c>
    </row>
    <row r="30" customFormat="false" ht="15" hidden="false" customHeight="false" outlineLevel="0" collapsed="false">
      <c r="B30" s="5" t="s">
        <v>81</v>
      </c>
      <c r="C30" s="14" t="n">
        <v>5</v>
      </c>
      <c r="D30" s="12" t="s">
        <v>72</v>
      </c>
      <c r="E30" s="12" t="s">
        <v>80</v>
      </c>
    </row>
    <row r="31" customFormat="false" ht="15" hidden="false" customHeight="false" outlineLevel="0" collapsed="false">
      <c r="B31" s="5" t="s">
        <v>82</v>
      </c>
      <c r="C31" s="14" t="n">
        <v>2.1</v>
      </c>
      <c r="D31" s="12" t="s">
        <v>72</v>
      </c>
      <c r="E31" s="12" t="s">
        <v>83</v>
      </c>
    </row>
    <row r="32" customFormat="false" ht="15" hidden="false" customHeight="false" outlineLevel="0" collapsed="false">
      <c r="B32" s="5" t="s">
        <v>84</v>
      </c>
      <c r="C32" s="14" t="n">
        <v>8.5</v>
      </c>
      <c r="D32" s="12" t="s">
        <v>72</v>
      </c>
      <c r="E32" s="12" t="s">
        <v>85</v>
      </c>
    </row>
    <row r="33" customFormat="false" ht="15" hidden="false" customHeight="false" outlineLevel="0" collapsed="false">
      <c r="B33" s="5" t="s">
        <v>86</v>
      </c>
      <c r="C33" s="14" t="n">
        <v>1.2</v>
      </c>
      <c r="D33" s="12" t="s">
        <v>46</v>
      </c>
      <c r="E33" s="12" t="s">
        <v>87</v>
      </c>
    </row>
    <row r="34" customFormat="false" ht="15" hidden="false" customHeight="false" outlineLevel="0" collapsed="false">
      <c r="B34" s="5" t="s">
        <v>88</v>
      </c>
      <c r="C34" s="14" t="n">
        <v>0.0015</v>
      </c>
      <c r="D34" s="12" t="s">
        <v>89</v>
      </c>
      <c r="E34" s="12" t="s">
        <v>90</v>
      </c>
    </row>
    <row r="36" customFormat="false" ht="15" hidden="false" customHeight="false" outlineLevel="0" collapsed="false">
      <c r="B36" s="8" t="s">
        <v>91</v>
      </c>
      <c r="C36" s="8"/>
      <c r="D36" s="8"/>
      <c r="E36" s="8"/>
    </row>
    <row r="37" customFormat="false" ht="15" hidden="false" customHeight="false" outlineLevel="0" collapsed="false">
      <c r="B37" s="9" t="s">
        <v>32</v>
      </c>
      <c r="C37" s="10" t="s">
        <v>92</v>
      </c>
      <c r="D37" s="10" t="s">
        <v>93</v>
      </c>
      <c r="E37" s="10" t="s">
        <v>94</v>
      </c>
    </row>
    <row r="38" customFormat="false" ht="15" hidden="false" customHeight="false" outlineLevel="0" collapsed="false">
      <c r="B38" s="5" t="s">
        <v>95</v>
      </c>
      <c r="C38" s="11" t="n">
        <v>1</v>
      </c>
      <c r="D38" s="15" t="n">
        <v>3</v>
      </c>
      <c r="E38" s="15" t="n">
        <v>5</v>
      </c>
    </row>
    <row r="39" customFormat="false" ht="15" hidden="false" customHeight="false" outlineLevel="0" collapsed="false">
      <c r="B39" s="0" t="s">
        <v>96</v>
      </c>
      <c r="C39" s="15" t="n">
        <v>5</v>
      </c>
      <c r="D39" s="15" t="n">
        <v>20</v>
      </c>
      <c r="E39" s="15" t="n">
        <v>50</v>
      </c>
    </row>
    <row r="40" customFormat="false" ht="15" hidden="false" customHeight="false" outlineLevel="0" collapsed="false">
      <c r="B40" s="0" t="s">
        <v>97</v>
      </c>
      <c r="C40" s="15" t="n">
        <v>10</v>
      </c>
      <c r="D40" s="15" t="n">
        <v>50</v>
      </c>
      <c r="E40" s="15" t="n">
        <v>150</v>
      </c>
    </row>
    <row r="41" customFormat="false" ht="15" hidden="false" customHeight="false" outlineLevel="0" collapsed="false">
      <c r="B41" s="0" t="s">
        <v>98</v>
      </c>
      <c r="C41" s="15" t="n">
        <v>12</v>
      </c>
      <c r="D41" s="15" t="n">
        <v>30</v>
      </c>
      <c r="E41" s="15" t="n">
        <v>60</v>
      </c>
    </row>
    <row r="42" customFormat="false" ht="15" hidden="false" customHeight="false" outlineLevel="0" collapsed="false">
      <c r="B42" s="0" t="s">
        <v>99</v>
      </c>
      <c r="C42" s="15" t="n">
        <v>50</v>
      </c>
      <c r="D42" s="15" t="n">
        <v>200</v>
      </c>
      <c r="E42" s="15" t="n">
        <v>600</v>
      </c>
    </row>
    <row r="43" customFormat="false" ht="15" hidden="false" customHeight="false" outlineLevel="0" collapsed="false">
      <c r="B43" s="0" t="s">
        <v>100</v>
      </c>
      <c r="C43" s="15" t="n">
        <v>5</v>
      </c>
      <c r="D43" s="15" t="n">
        <v>25</v>
      </c>
      <c r="E43" s="15" t="n">
        <v>80</v>
      </c>
      <c r="F43" s="12" t="s">
        <v>101</v>
      </c>
    </row>
    <row r="44" customFormat="false" ht="15" hidden="false" customHeight="false" outlineLevel="0" collapsed="false">
      <c r="B44" s="0" t="s">
        <v>102</v>
      </c>
      <c r="C44" s="15" t="n">
        <v>20</v>
      </c>
      <c r="D44" s="15" t="n">
        <v>150</v>
      </c>
      <c r="E44" s="15" t="n">
        <v>500</v>
      </c>
      <c r="F44" s="12" t="s">
        <v>101</v>
      </c>
    </row>
    <row r="45" customFormat="false" ht="15" hidden="false" customHeight="false" outlineLevel="0" collapsed="false">
      <c r="B45" s="0" t="s">
        <v>103</v>
      </c>
      <c r="C45" s="15" t="n">
        <v>2000</v>
      </c>
      <c r="D45" s="15" t="n">
        <v>12000</v>
      </c>
      <c r="E45" s="15" t="n">
        <v>40000</v>
      </c>
    </row>
    <row r="46" customFormat="false" ht="15" hidden="false" customHeight="false" outlineLevel="0" collapsed="false">
      <c r="B46" s="0" t="s">
        <v>104</v>
      </c>
      <c r="C46" s="15" t="n">
        <v>50000000</v>
      </c>
      <c r="D46" s="15" t="n">
        <v>250000000</v>
      </c>
      <c r="E46" s="15" t="n">
        <v>900000000</v>
      </c>
      <c r="F46" s="12" t="s">
        <v>105</v>
      </c>
    </row>
    <row r="47" customFormat="false" ht="15" hidden="false" customHeight="false" outlineLevel="0" collapsed="false">
      <c r="B47" s="0" t="s">
        <v>106</v>
      </c>
      <c r="C47" s="15" t="n">
        <v>10000000</v>
      </c>
      <c r="D47" s="15" t="n">
        <v>60000000</v>
      </c>
      <c r="E47" s="15" t="n">
        <v>240000000</v>
      </c>
      <c r="F47" s="12" t="s">
        <v>105</v>
      </c>
    </row>
    <row r="48" customFormat="false" ht="15" hidden="false" customHeight="false" outlineLevel="0" collapsed="false">
      <c r="B48" s="0" t="s">
        <v>107</v>
      </c>
      <c r="C48" s="15" t="n">
        <v>10</v>
      </c>
      <c r="D48" s="15" t="n">
        <v>50</v>
      </c>
      <c r="E48" s="15" t="n">
        <v>200</v>
      </c>
      <c r="F48" s="12" t="s">
        <v>101</v>
      </c>
    </row>
    <row r="50" customFormat="false" ht="15" hidden="false" customHeight="false" outlineLevel="0" collapsed="false">
      <c r="B50" s="8" t="s">
        <v>108</v>
      </c>
      <c r="C50" s="8"/>
      <c r="D50" s="8"/>
      <c r="E50" s="8"/>
    </row>
    <row r="51" customFormat="false" ht="15" hidden="false" customHeight="false" outlineLevel="0" collapsed="false">
      <c r="B51" s="9" t="s">
        <v>32</v>
      </c>
      <c r="C51" s="10" t="s">
        <v>33</v>
      </c>
      <c r="D51" s="10" t="s">
        <v>34</v>
      </c>
      <c r="E51" s="10" t="s">
        <v>44</v>
      </c>
    </row>
    <row r="52" customFormat="false" ht="15" hidden="false" customHeight="false" outlineLevel="0" collapsed="false">
      <c r="B52" s="5" t="s">
        <v>109</v>
      </c>
      <c r="C52" s="14" t="n">
        <v>18</v>
      </c>
      <c r="D52" s="12" t="s">
        <v>46</v>
      </c>
      <c r="E52" s="12" t="s">
        <v>110</v>
      </c>
    </row>
    <row r="53" customFormat="false" ht="15" hidden="false" customHeight="false" outlineLevel="0" collapsed="false">
      <c r="B53" s="5" t="s">
        <v>111</v>
      </c>
      <c r="C53" s="14" t="n">
        <v>35</v>
      </c>
      <c r="D53" s="12" t="s">
        <v>46</v>
      </c>
      <c r="E53" s="12" t="s">
        <v>112</v>
      </c>
    </row>
    <row r="54" customFormat="false" ht="15" hidden="false" customHeight="false" outlineLevel="0" collapsed="false">
      <c r="B54" s="5" t="s">
        <v>113</v>
      </c>
      <c r="C54" s="11" t="n">
        <v>24</v>
      </c>
      <c r="D54" s="15" t="n">
        <v>72</v>
      </c>
      <c r="E54" s="15" t="n">
        <v>180</v>
      </c>
    </row>
    <row r="55" customFormat="false" ht="15" hidden="false" customHeight="false" outlineLevel="0" collapsed="false">
      <c r="B55" s="0" t="s">
        <v>114</v>
      </c>
      <c r="C55" s="15" t="n">
        <v>80</v>
      </c>
      <c r="D55" s="15" t="n">
        <v>200</v>
      </c>
      <c r="E55" s="15" t="n">
        <v>500</v>
      </c>
    </row>
    <row r="57" customFormat="false" ht="15" hidden="false" customHeight="false" outlineLevel="0" collapsed="false">
      <c r="B57" s="8" t="s">
        <v>115</v>
      </c>
      <c r="C57" s="8"/>
      <c r="D57" s="8"/>
      <c r="E57" s="8"/>
    </row>
    <row r="58" customFormat="false" ht="15" hidden="false" customHeight="false" outlineLevel="0" collapsed="false">
      <c r="B58" s="9" t="s">
        <v>32</v>
      </c>
      <c r="C58" s="10" t="s">
        <v>116</v>
      </c>
      <c r="D58" s="10" t="s">
        <v>34</v>
      </c>
      <c r="E58" s="10" t="s">
        <v>44</v>
      </c>
    </row>
    <row r="59" customFormat="false" ht="15" hidden="false" customHeight="false" outlineLevel="0" collapsed="false">
      <c r="B59" s="5" t="s">
        <v>117</v>
      </c>
      <c r="C59" s="16" t="n">
        <v>800</v>
      </c>
      <c r="D59" s="12" t="s">
        <v>118</v>
      </c>
      <c r="E59" s="12" t="s">
        <v>119</v>
      </c>
    </row>
    <row r="60" customFormat="false" ht="15" hidden="false" customHeight="false" outlineLevel="0" collapsed="false">
      <c r="B60" s="5" t="s">
        <v>120</v>
      </c>
      <c r="C60" s="16" t="n">
        <v>600</v>
      </c>
      <c r="D60" s="12" t="s">
        <v>118</v>
      </c>
      <c r="E60" s="12" t="s">
        <v>121</v>
      </c>
    </row>
    <row r="61" customFormat="false" ht="15" hidden="false" customHeight="false" outlineLevel="0" collapsed="false">
      <c r="B61" s="5" t="s">
        <v>122</v>
      </c>
      <c r="C61" s="16" t="n">
        <v>400</v>
      </c>
      <c r="D61" s="12" t="s">
        <v>118</v>
      </c>
      <c r="E61" s="12" t="s">
        <v>121</v>
      </c>
    </row>
    <row r="62" customFormat="false" ht="15" hidden="false" customHeight="false" outlineLevel="0" collapsed="false">
      <c r="B62" s="5" t="s">
        <v>123</v>
      </c>
      <c r="C62" s="16" t="n">
        <v>1200</v>
      </c>
      <c r="D62" s="12" t="s">
        <v>118</v>
      </c>
      <c r="E62" s="12" t="s">
        <v>124</v>
      </c>
    </row>
    <row r="63" customFormat="false" ht="15" hidden="false" customHeight="false" outlineLevel="0" collapsed="false">
      <c r="B63" s="5" t="s">
        <v>125</v>
      </c>
      <c r="C63" s="16" t="n">
        <v>500</v>
      </c>
      <c r="D63" s="12" t="s">
        <v>118</v>
      </c>
      <c r="E63" s="12" t="s">
        <v>126</v>
      </c>
    </row>
    <row r="64" customFormat="false" ht="15" hidden="false" customHeight="false" outlineLevel="0" collapsed="false">
      <c r="B64" s="5" t="s">
        <v>127</v>
      </c>
      <c r="C64" s="16" t="n">
        <v>1500</v>
      </c>
      <c r="D64" s="12" t="s">
        <v>118</v>
      </c>
      <c r="E64" s="12" t="s">
        <v>128</v>
      </c>
    </row>
    <row r="65" customFormat="false" ht="15" hidden="false" customHeight="false" outlineLevel="0" collapsed="false">
      <c r="B65" s="5" t="s">
        <v>129</v>
      </c>
      <c r="C65" s="16" t="n">
        <v>300</v>
      </c>
      <c r="D65" s="12" t="s">
        <v>118</v>
      </c>
      <c r="E65" s="12" t="s">
        <v>130</v>
      </c>
    </row>
    <row r="66" customFormat="false" ht="15" hidden="false" customHeight="false" outlineLevel="0" collapsed="false">
      <c r="B66" s="17" t="s">
        <v>131</v>
      </c>
      <c r="C66" s="18" t="n">
        <f aca="false">SUM(C59:C65)</f>
        <v>5300</v>
      </c>
    </row>
    <row r="68" customFormat="false" ht="15" hidden="false" customHeight="false" outlineLevel="0" collapsed="false">
      <c r="B68" s="8" t="s">
        <v>132</v>
      </c>
      <c r="C68" s="8"/>
      <c r="D68" s="8"/>
      <c r="E68" s="8"/>
    </row>
    <row r="69" customFormat="false" ht="15" hidden="false" customHeight="false" outlineLevel="0" collapsed="false">
      <c r="B69" s="9" t="s">
        <v>32</v>
      </c>
      <c r="C69" s="10" t="s">
        <v>92</v>
      </c>
      <c r="D69" s="10" t="s">
        <v>93</v>
      </c>
      <c r="E69" s="10" t="s">
        <v>94</v>
      </c>
    </row>
    <row r="70" customFormat="false" ht="15" hidden="false" customHeight="false" outlineLevel="0" collapsed="false">
      <c r="B70" s="0" t="s">
        <v>133</v>
      </c>
      <c r="C70" s="16" t="n">
        <v>4500</v>
      </c>
      <c r="D70" s="16" t="n">
        <v>10800</v>
      </c>
      <c r="E70" s="16" t="n">
        <v>22000</v>
      </c>
    </row>
    <row r="71" customFormat="false" ht="15" hidden="false" customHeight="false" outlineLevel="0" collapsed="false">
      <c r="B71" s="0" t="s">
        <v>134</v>
      </c>
      <c r="C71" s="16" t="n">
        <v>2500</v>
      </c>
      <c r="D71" s="16" t="n">
        <v>5000</v>
      </c>
      <c r="E71" s="16" t="n">
        <v>12000</v>
      </c>
    </row>
    <row r="72" customFormat="false" ht="15" hidden="false" customHeight="false" outlineLevel="0" collapsed="false">
      <c r="B72" s="0" t="s">
        <v>135</v>
      </c>
      <c r="C72" s="13" t="n">
        <v>1</v>
      </c>
      <c r="D72" s="13" t="n">
        <v>1</v>
      </c>
      <c r="E72" s="13" t="n">
        <v>1</v>
      </c>
      <c r="F72" s="12" t="s">
        <v>136</v>
      </c>
    </row>
    <row r="73" customFormat="false" ht="15" hidden="false" customHeight="false" outlineLevel="0" collapsed="false">
      <c r="B73" s="0" t="s">
        <v>137</v>
      </c>
      <c r="C73" s="13" t="n">
        <v>0.5</v>
      </c>
      <c r="D73" s="13" t="n">
        <v>0.5</v>
      </c>
      <c r="E73" s="13" t="n">
        <v>0.5</v>
      </c>
      <c r="F73" s="12" t="s">
        <v>138</v>
      </c>
    </row>
  </sheetData>
  <mergeCells count="9">
    <mergeCell ref="B2:E2"/>
    <mergeCell ref="B3:E3"/>
    <mergeCell ref="B5:E5"/>
    <mergeCell ref="B10:E10"/>
    <mergeCell ref="B23:E23"/>
    <mergeCell ref="B36:E36"/>
    <mergeCell ref="B50:E50"/>
    <mergeCell ref="B57:E57"/>
    <mergeCell ref="B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5" min="3" style="0" width="14"/>
    <col collapsed="false" customWidth="true" hidden="false" outlineLevel="0" max="6" min="6" style="0" width="36"/>
  </cols>
  <sheetData>
    <row r="1" customFormat="false" ht="17.35" hidden="false" customHeight="false" outlineLevel="0" collapsed="false">
      <c r="B1" s="6" t="s">
        <v>139</v>
      </c>
    </row>
    <row r="2" customFormat="false" ht="15" hidden="false" customHeight="false" outlineLevel="0" collapsed="false">
      <c r="B2" s="7" t="s">
        <v>140</v>
      </c>
      <c r="C2" s="7"/>
      <c r="D2" s="7"/>
      <c r="E2" s="7"/>
      <c r="F2" s="7"/>
    </row>
    <row r="3" customFormat="false" ht="15" hidden="false" customHeight="false" outlineLevel="0" collapsed="false">
      <c r="B3" s="7" t="s">
        <v>141</v>
      </c>
      <c r="C3" s="7"/>
      <c r="D3" s="7"/>
      <c r="E3" s="7"/>
      <c r="F3" s="7"/>
    </row>
    <row r="5" customFormat="false" ht="15" hidden="false" customHeight="false" outlineLevel="0" collapsed="false">
      <c r="B5" s="8" t="s">
        <v>142</v>
      </c>
      <c r="C5" s="8"/>
      <c r="D5" s="8"/>
      <c r="E5" s="8"/>
      <c r="F5" s="8"/>
    </row>
    <row r="6" customFormat="false" ht="15" hidden="false" customHeight="false" outlineLevel="0" collapsed="false">
      <c r="B6" s="9" t="s">
        <v>143</v>
      </c>
      <c r="C6" s="10" t="s">
        <v>144</v>
      </c>
      <c r="D6" s="10" t="s">
        <v>145</v>
      </c>
      <c r="E6" s="10" t="s">
        <v>146</v>
      </c>
      <c r="F6" s="10" t="s">
        <v>147</v>
      </c>
    </row>
    <row r="7" customFormat="false" ht="15" hidden="false" customHeight="false" outlineLevel="0" collapsed="false">
      <c r="B7" s="5" t="s">
        <v>148</v>
      </c>
      <c r="C7" s="19" t="n">
        <f aca="false">MONGO_M30*24*365*(DB_GB_S/200)</f>
        <v>118.26</v>
      </c>
      <c r="D7" s="19" t="n">
        <f aca="false">MONGO_M30*24*365*(DB_GB_M/200)</f>
        <v>591.3</v>
      </c>
      <c r="E7" s="19" t="n">
        <f aca="false">MONGO_M30*24*365*(DB_GB_L/200)</f>
        <v>1892.16</v>
      </c>
      <c r="F7" s="12" t="s">
        <v>149</v>
      </c>
    </row>
    <row r="8" customFormat="false" ht="15" hidden="false" customHeight="false" outlineLevel="0" collapsed="false">
      <c r="B8" s="5" t="s">
        <v>150</v>
      </c>
      <c r="C8" s="19" t="n">
        <f aca="false">AWS_EC2_T3M*24*365*(AUDITS_S/600)*2</f>
        <v>17.37984</v>
      </c>
      <c r="D8" s="19" t="n">
        <f aca="false">AWS_EC2_T3M*24*365*(AUDITS_M/600)*2</f>
        <v>43.4496</v>
      </c>
      <c r="E8" s="19" t="n">
        <f aca="false">AWS_EC2_T3M*24*365*(AUDITS_L/600)*2</f>
        <v>86.8992</v>
      </c>
      <c r="F8" s="12" t="s">
        <v>151</v>
      </c>
    </row>
    <row r="9" customFormat="false" ht="15" hidden="false" customHeight="false" outlineLevel="0" collapsed="false">
      <c r="B9" s="5" t="s">
        <v>152</v>
      </c>
      <c r="C9" s="19" t="n">
        <f aca="false">AWS_EC2_M5L*24*365*(OCR_PAGES_S/200000)*2</f>
        <v>18.396</v>
      </c>
      <c r="D9" s="19" t="n">
        <f aca="false">AWS_EC2_M5L*24*365*(OCR_PAGES_M/200000)*2</f>
        <v>110.376</v>
      </c>
      <c r="E9" s="19" t="n">
        <f aca="false">AWS_EC2_M5L*24*365*(OCR_PAGES_L/200000)*2</f>
        <v>367.92</v>
      </c>
      <c r="F9" s="12" t="s">
        <v>153</v>
      </c>
    </row>
    <row r="10" customFormat="false" ht="15" hidden="false" customHeight="false" outlineLevel="0" collapsed="false">
      <c r="B10" s="5" t="s">
        <v>154</v>
      </c>
      <c r="C10" s="19" t="n">
        <f aca="false">S3_GB_MO*12*S3_GB_S</f>
        <v>6</v>
      </c>
      <c r="D10" s="19" t="n">
        <f aca="false">S3_GB_MO*12*S3_GB_M</f>
        <v>45</v>
      </c>
      <c r="E10" s="19" t="n">
        <f aca="false">S3_GB_MO*12*S3_GB_L</f>
        <v>150</v>
      </c>
      <c r="F10" s="12" t="s">
        <v>155</v>
      </c>
    </row>
    <row r="11" customFormat="false" ht="15" hidden="false" customHeight="false" outlineLevel="0" collapsed="false">
      <c r="B11" s="5" t="s">
        <v>68</v>
      </c>
      <c r="C11" s="19" t="n">
        <f aca="false">BACKUP*12*(DB_GB_S+S3_GB_S*0.3)</f>
        <v>6.6</v>
      </c>
      <c r="D11" s="19" t="n">
        <f aca="false">BACKUP*12*(DB_GB_M+S3_GB_M*0.3)</f>
        <v>42</v>
      </c>
      <c r="E11" s="19" t="n">
        <f aca="false">BACKUP*12*(DB_GB_L+S3_GB_L*0.3)</f>
        <v>138</v>
      </c>
      <c r="F11" s="12" t="s">
        <v>156</v>
      </c>
    </row>
    <row r="12" customFormat="false" ht="15" hidden="false" customHeight="false" outlineLevel="0" collapsed="false">
      <c r="B12" s="5" t="s">
        <v>62</v>
      </c>
      <c r="C12" s="19" t="n">
        <f aca="false">EGRESS*EGRESS_GB_S</f>
        <v>0.9</v>
      </c>
      <c r="D12" s="19" t="n">
        <f aca="false">EGRESS*EGRESS_GB_M</f>
        <v>4.5</v>
      </c>
      <c r="E12" s="19" t="n">
        <f aca="false">EGRESS*EGRESS_GB_L</f>
        <v>18</v>
      </c>
      <c r="F12" s="12" t="s">
        <v>157</v>
      </c>
    </row>
    <row r="13" customFormat="false" ht="15" hidden="false" customHeight="false" outlineLevel="0" collapsed="false">
      <c r="B13" s="5" t="s">
        <v>158</v>
      </c>
      <c r="C13" s="19" t="n">
        <f aca="false">50</f>
        <v>50</v>
      </c>
      <c r="D13" s="19" t="n">
        <f aca="false">150</f>
        <v>150</v>
      </c>
      <c r="E13" s="19" t="n">
        <f aca="false">400</f>
        <v>400</v>
      </c>
      <c r="F13" s="12" t="s">
        <v>159</v>
      </c>
    </row>
    <row r="14" customFormat="false" ht="15" hidden="false" customHeight="false" outlineLevel="0" collapsed="false">
      <c r="B14" s="5" t="s">
        <v>160</v>
      </c>
      <c r="C14" s="19" t="n">
        <f aca="false">(AI_IN_S/1000000)*TKN_BLEND_IN+(AI_OUT_S/1000000)*TKN_BLEND_OUT</f>
        <v>190</v>
      </c>
      <c r="D14" s="19" t="n">
        <f aca="false">(AI_IN_M/1000000)*TKN_BLEND_IN+(AI_OUT_M/1000000)*TKN_BLEND_OUT</f>
        <v>1035</v>
      </c>
      <c r="E14" s="19" t="n">
        <f aca="false">(AI_IN_L/1000000)*TKN_BLEND_IN+(AI_OUT_L/1000000)*TKN_BLEND_OUT</f>
        <v>3930</v>
      </c>
      <c r="F14" s="12" t="s">
        <v>161</v>
      </c>
    </row>
    <row r="15" customFormat="false" ht="15" hidden="false" customHeight="false" outlineLevel="0" collapsed="false">
      <c r="B15" s="5" t="s">
        <v>88</v>
      </c>
      <c r="C15" s="19" t="n">
        <f aca="false">OCR_PAGE*OCR_PAGES_S</f>
        <v>3</v>
      </c>
      <c r="D15" s="19" t="n">
        <f aca="false">OCR_PAGE*OCR_PAGES_M</f>
        <v>18</v>
      </c>
      <c r="E15" s="19" t="n">
        <f aca="false">OCR_PAGE*OCR_PAGES_L</f>
        <v>60</v>
      </c>
      <c r="F15" s="12" t="s">
        <v>162</v>
      </c>
    </row>
    <row r="16" customFormat="false" ht="15" hidden="false" customHeight="false" outlineLevel="0" collapsed="false">
      <c r="B16" s="5" t="s">
        <v>163</v>
      </c>
      <c r="C16" s="19" t="n">
        <f aca="false">CSM_HR*SUPPORT_HRS_S+ENG_HR*SUPPORT_HRS_S*0.2</f>
        <v>600</v>
      </c>
      <c r="D16" s="19" t="n">
        <f aca="false">CSM_HR*SUPPORT_HRS_M+ENG_HR*SUPPORT_HRS_M*0.2</f>
        <v>1800</v>
      </c>
      <c r="E16" s="19" t="n">
        <f aca="false">CSM_HR*SUPPORT_HRS_L+ENG_HR*SUPPORT_HRS_L*0.2</f>
        <v>4500</v>
      </c>
      <c r="F16" s="12" t="s">
        <v>164</v>
      </c>
    </row>
    <row r="17" customFormat="false" ht="15" hidden="false" customHeight="false" outlineLevel="0" collapsed="false">
      <c r="B17" s="17" t="s">
        <v>165</v>
      </c>
      <c r="C17" s="18" t="n">
        <f aca="false">SUM(C7:C16)</f>
        <v>1010.53584</v>
      </c>
      <c r="D17" s="18" t="n">
        <f aca="false">SUM(D7:D16)</f>
        <v>3839.6256</v>
      </c>
      <c r="E17" s="18" t="n">
        <f aca="false">SUM(E7:E16)</f>
        <v>11542.9792</v>
      </c>
    </row>
    <row r="19" customFormat="false" ht="15" hidden="false" customHeight="false" outlineLevel="0" collapsed="false">
      <c r="B19" s="8" t="s">
        <v>166</v>
      </c>
      <c r="C19" s="8"/>
      <c r="D19" s="8"/>
      <c r="E19" s="8"/>
      <c r="F19" s="8"/>
    </row>
    <row r="20" customFormat="false" ht="15" hidden="false" customHeight="false" outlineLevel="0" collapsed="false">
      <c r="B20" s="9" t="s">
        <v>143</v>
      </c>
      <c r="C20" s="10" t="s">
        <v>144</v>
      </c>
      <c r="D20" s="10" t="s">
        <v>145</v>
      </c>
      <c r="E20" s="10" t="s">
        <v>146</v>
      </c>
      <c r="F20" s="10" t="s">
        <v>147</v>
      </c>
    </row>
    <row r="21" customFormat="false" ht="15" hidden="false" customHeight="false" outlineLevel="0" collapsed="false">
      <c r="B21" s="5" t="s">
        <v>167</v>
      </c>
      <c r="C21" s="19" t="n">
        <f aca="false">MONGO_M30*24*365*(DB_GB_S/200)</f>
        <v>118.26</v>
      </c>
      <c r="D21" s="19" t="n">
        <f aca="false">MONGO_M30*24*365*(DB_GB_M/200)</f>
        <v>591.3</v>
      </c>
      <c r="E21" s="19" t="n">
        <f aca="false">MONGO_M30*24*365</f>
        <v>4730.4</v>
      </c>
      <c r="F21" s="12" t="s">
        <v>168</v>
      </c>
    </row>
    <row r="22" customFormat="false" ht="15" hidden="false" customHeight="false" outlineLevel="0" collapsed="false">
      <c r="B22" s="5" t="s">
        <v>169</v>
      </c>
      <c r="C22" s="19" t="n">
        <f aca="false">AWS_EC2_T3M*24*365*(AUDITS_S/600)*2</f>
        <v>17.37984</v>
      </c>
      <c r="D22" s="19" t="n">
        <f aca="false">AWS_EC2_T3M*24*365*(AUDITS_M/600)*2</f>
        <v>43.4496</v>
      </c>
      <c r="E22" s="19" t="n">
        <f aca="false">AWS_EC2_T3M*24*365*2</f>
        <v>868.992</v>
      </c>
      <c r="F22" s="12" t="s">
        <v>170</v>
      </c>
    </row>
    <row r="23" customFormat="false" ht="15" hidden="false" customHeight="false" outlineLevel="0" collapsed="false">
      <c r="B23" s="5" t="s">
        <v>171</v>
      </c>
      <c r="C23" s="19" t="n">
        <f aca="false">AWS_EC2_M5L*24*365*(OCR_PAGES_S/200000)*2</f>
        <v>18.396</v>
      </c>
      <c r="D23" s="19" t="n">
        <f aca="false">AWS_EC2_M5L*24*365*(OCR_PAGES_M/200000)*2</f>
        <v>110.376</v>
      </c>
      <c r="E23" s="19" t="n">
        <f aca="false">AWS_EC2_M5L*24*365*2</f>
        <v>1839.6</v>
      </c>
      <c r="F23" s="12" t="s">
        <v>170</v>
      </c>
    </row>
    <row r="24" customFormat="false" ht="15" hidden="false" customHeight="false" outlineLevel="0" collapsed="false">
      <c r="B24" s="5" t="s">
        <v>172</v>
      </c>
      <c r="C24" s="19" t="n">
        <f aca="false">C10+C11+C12</f>
        <v>13.5</v>
      </c>
      <c r="D24" s="19" t="n">
        <f aca="false">D10+D11+D12</f>
        <v>91.5</v>
      </c>
      <c r="E24" s="19" t="n">
        <f aca="false">E10+E11+E12</f>
        <v>306</v>
      </c>
      <c r="F24" s="12" t="s">
        <v>173</v>
      </c>
    </row>
    <row r="25" customFormat="false" ht="15" hidden="false" customHeight="false" outlineLevel="0" collapsed="false">
      <c r="B25" s="5" t="s">
        <v>174</v>
      </c>
      <c r="C25" s="19" t="n">
        <f aca="false">50</f>
        <v>50</v>
      </c>
      <c r="D25" s="19" t="n">
        <f aca="false">150</f>
        <v>150</v>
      </c>
      <c r="E25" s="19" t="n">
        <f aca="false">800</f>
        <v>800</v>
      </c>
      <c r="F25" s="12" t="s">
        <v>175</v>
      </c>
    </row>
    <row r="26" customFormat="false" ht="15" hidden="false" customHeight="false" outlineLevel="0" collapsed="false">
      <c r="B26" s="5" t="s">
        <v>176</v>
      </c>
      <c r="C26" s="19" t="n">
        <f aca="false">C14</f>
        <v>190</v>
      </c>
      <c r="D26" s="19" t="n">
        <f aca="false">D14</f>
        <v>1035</v>
      </c>
      <c r="E26" s="19" t="n">
        <f aca="false">E14</f>
        <v>3930</v>
      </c>
      <c r="F26" s="12" t="s">
        <v>177</v>
      </c>
    </row>
    <row r="27" customFormat="false" ht="15" hidden="false" customHeight="false" outlineLevel="0" collapsed="false">
      <c r="B27" s="5" t="s">
        <v>178</v>
      </c>
      <c r="C27" s="19" t="n">
        <f aca="false">C15</f>
        <v>3</v>
      </c>
      <c r="D27" s="19" t="n">
        <f aca="false">D15</f>
        <v>18</v>
      </c>
      <c r="E27" s="19" t="n">
        <f aca="false">E15</f>
        <v>60</v>
      </c>
      <c r="F27" s="12" t="s">
        <v>179</v>
      </c>
    </row>
    <row r="28" customFormat="false" ht="15" hidden="false" customHeight="false" outlineLevel="0" collapsed="false">
      <c r="B28" s="5" t="s">
        <v>180</v>
      </c>
      <c r="C28" s="19" t="n">
        <f aca="false">CSM_HR*SUPPORT_HRS_S+ENG_HR*SUPPORT_HRS_S*0.2</f>
        <v>600</v>
      </c>
      <c r="D28" s="19" t="n">
        <f aca="false">CSM_HR*SUPPORT_HRS_M+ENG_HR*SUPPORT_HRS_M*0.2</f>
        <v>1800</v>
      </c>
      <c r="E28" s="19" t="n">
        <f aca="false">CSM_HR*SUPPORT_HRS_L+ENG_HR*SUPPORT_HRS_L*0.3</f>
        <v>5130</v>
      </c>
      <c r="F28" s="12" t="s">
        <v>181</v>
      </c>
    </row>
    <row r="29" customFormat="false" ht="15" hidden="false" customHeight="false" outlineLevel="0" collapsed="false">
      <c r="B29" s="17" t="s">
        <v>182</v>
      </c>
      <c r="C29" s="18" t="n">
        <f aca="false">SUM(C21:C28)</f>
        <v>1010.53584</v>
      </c>
      <c r="D29" s="18" t="n">
        <f aca="false">SUM(D21:D28)</f>
        <v>3839.6256</v>
      </c>
      <c r="E29" s="18" t="n">
        <f aca="false">SUM(E21:E28)</f>
        <v>17664.992</v>
      </c>
    </row>
    <row r="31" customFormat="false" ht="15" hidden="false" customHeight="false" outlineLevel="0" collapsed="false">
      <c r="B31" s="8" t="s">
        <v>183</v>
      </c>
      <c r="C31" s="8"/>
      <c r="D31" s="8"/>
      <c r="E31" s="8"/>
      <c r="F31" s="8"/>
    </row>
    <row r="32" customFormat="false" ht="15" hidden="false" customHeight="false" outlineLevel="0" collapsed="false">
      <c r="B32" s="9" t="s">
        <v>143</v>
      </c>
      <c r="C32" s="10" t="s">
        <v>144</v>
      </c>
      <c r="D32" s="10" t="s">
        <v>145</v>
      </c>
      <c r="E32" s="10" t="s">
        <v>146</v>
      </c>
      <c r="F32" s="10" t="s">
        <v>147</v>
      </c>
    </row>
    <row r="33" customFormat="false" ht="15" hidden="false" customHeight="false" outlineLevel="0" collapsed="false">
      <c r="B33" s="5" t="s">
        <v>184</v>
      </c>
      <c r="C33" s="19" t="n">
        <f aca="false">MONGO_M30*24*365</f>
        <v>4730.4</v>
      </c>
      <c r="D33" s="19" t="n">
        <f aca="false">MONGO_M30*24*365</f>
        <v>4730.4</v>
      </c>
      <c r="E33" s="19" t="n">
        <f aca="false">MONGO_M30*24*365</f>
        <v>4730.4</v>
      </c>
      <c r="F33" s="12" t="s">
        <v>185</v>
      </c>
    </row>
    <row r="34" customFormat="false" ht="15" hidden="false" customHeight="false" outlineLevel="0" collapsed="false">
      <c r="B34" s="5" t="s">
        <v>186</v>
      </c>
      <c r="C34" s="19" t="n">
        <f aca="false">AWS_EC2_T3M*24*365*2</f>
        <v>868.992</v>
      </c>
      <c r="D34" s="19" t="n">
        <f aca="false">AWS_EC2_T3M*24*365*2</f>
        <v>868.992</v>
      </c>
      <c r="E34" s="19" t="n">
        <f aca="false">AWS_EC2_T3M*24*365*3</f>
        <v>1303.488</v>
      </c>
      <c r="F34" s="12" t="s">
        <v>187</v>
      </c>
    </row>
    <row r="35" customFormat="false" ht="15" hidden="false" customHeight="false" outlineLevel="0" collapsed="false">
      <c r="B35" s="5" t="s">
        <v>188</v>
      </c>
      <c r="C35" s="19" t="n">
        <f aca="false">AWS_EC2_M5L*24*365*1</f>
        <v>919.8</v>
      </c>
      <c r="D35" s="19" t="n">
        <f aca="false">AWS_EC2_M5L*24*365*2</f>
        <v>1839.6</v>
      </c>
      <c r="E35" s="19" t="n">
        <f aca="false">AWS_EC2_M5L*24*365*3</f>
        <v>2759.4</v>
      </c>
      <c r="F35" s="12" t="s">
        <v>189</v>
      </c>
    </row>
    <row r="36" customFormat="false" ht="15" hidden="false" customHeight="false" outlineLevel="0" collapsed="false">
      <c r="B36" s="5" t="s">
        <v>190</v>
      </c>
      <c r="C36" s="19" t="n">
        <f aca="false">C10+C11+C12</f>
        <v>13.5</v>
      </c>
      <c r="D36" s="19" t="n">
        <f aca="false">D10+D11+D12</f>
        <v>91.5</v>
      </c>
      <c r="E36" s="19" t="n">
        <f aca="false">E10+E11+E12</f>
        <v>306</v>
      </c>
      <c r="F36" s="12" t="s">
        <v>191</v>
      </c>
    </row>
    <row r="37" customFormat="false" ht="15" hidden="false" customHeight="false" outlineLevel="0" collapsed="false">
      <c r="B37" s="5" t="s">
        <v>192</v>
      </c>
      <c r="C37" s="19" t="n">
        <f aca="false">200</f>
        <v>200</v>
      </c>
      <c r="D37" s="19" t="n">
        <f aca="false">300</f>
        <v>300</v>
      </c>
      <c r="E37" s="19" t="n">
        <f aca="false">800</f>
        <v>800</v>
      </c>
      <c r="F37" s="12" t="s">
        <v>193</v>
      </c>
    </row>
    <row r="38" customFormat="false" ht="15" hidden="false" customHeight="false" outlineLevel="0" collapsed="false">
      <c r="B38" s="5" t="s">
        <v>194</v>
      </c>
      <c r="C38" s="19" t="n">
        <f aca="false">C14</f>
        <v>190</v>
      </c>
      <c r="D38" s="19" t="n">
        <f aca="false">D14</f>
        <v>1035</v>
      </c>
      <c r="E38" s="19" t="n">
        <f aca="false">E14</f>
        <v>3930</v>
      </c>
      <c r="F38" s="12" t="s">
        <v>179</v>
      </c>
    </row>
    <row r="39" customFormat="false" ht="15" hidden="false" customHeight="false" outlineLevel="0" collapsed="false">
      <c r="B39" s="5" t="s">
        <v>195</v>
      </c>
      <c r="C39" s="19" t="n">
        <f aca="false">C15</f>
        <v>3</v>
      </c>
      <c r="D39" s="19" t="n">
        <f aca="false">D15</f>
        <v>18</v>
      </c>
      <c r="E39" s="19" t="n">
        <f aca="false">E15</f>
        <v>60</v>
      </c>
      <c r="F39" s="12" t="s">
        <v>179</v>
      </c>
    </row>
    <row r="40" customFormat="false" ht="15" hidden="false" customHeight="false" outlineLevel="0" collapsed="false">
      <c r="B40" s="5" t="s">
        <v>196</v>
      </c>
      <c r="C40" s="19" t="n">
        <f aca="false">CSM_HR*SUPPORT_HRS_S+ENG_HR*SUPPORT_HRS_S*0.4</f>
        <v>768</v>
      </c>
      <c r="D40" s="19" t="n">
        <f aca="false">CSM_HR*SUPPORT_HRS_M+ENG_HR*SUPPORT_HRS_M*0.4</f>
        <v>2304</v>
      </c>
      <c r="E40" s="19" t="n">
        <f aca="false">CSM_HR*SUPPORT_HRS_L+ENG_HR*SUPPORT_HRS_L*0.5</f>
        <v>6390</v>
      </c>
      <c r="F40" s="12" t="s">
        <v>197</v>
      </c>
    </row>
    <row r="41" customFormat="false" ht="15" hidden="false" customHeight="false" outlineLevel="0" collapsed="false">
      <c r="B41" s="17" t="s">
        <v>198</v>
      </c>
      <c r="C41" s="18" t="n">
        <f aca="false">SUM(C33:C40)</f>
        <v>7693.692</v>
      </c>
      <c r="D41" s="18" t="n">
        <f aca="false">SUM(D33:D40)</f>
        <v>11187.492</v>
      </c>
      <c r="E41" s="18" t="n">
        <f aca="false">SUM(E33:E40)</f>
        <v>20279.288</v>
      </c>
    </row>
    <row r="43" customFormat="false" ht="15" hidden="false" customHeight="false" outlineLevel="0" collapsed="false">
      <c r="B43" s="8" t="s">
        <v>199</v>
      </c>
      <c r="C43" s="8"/>
      <c r="D43" s="8"/>
      <c r="E43" s="8"/>
      <c r="F43" s="8"/>
    </row>
    <row r="44" customFormat="false" ht="15" hidden="false" customHeight="false" outlineLevel="0" collapsed="false">
      <c r="B44" s="9" t="s">
        <v>200</v>
      </c>
      <c r="C44" s="10" t="s">
        <v>144</v>
      </c>
      <c r="D44" s="10" t="s">
        <v>145</v>
      </c>
      <c r="E44" s="10" t="s">
        <v>146</v>
      </c>
      <c r="F44" s="10" t="s">
        <v>201</v>
      </c>
    </row>
    <row r="45" customFormat="false" ht="15" hidden="false" customHeight="false" outlineLevel="0" collapsed="false">
      <c r="B45" s="5" t="s">
        <v>202</v>
      </c>
      <c r="C45" s="20" t="n">
        <f aca="false">C17</f>
        <v>1010.53584</v>
      </c>
      <c r="D45" s="20" t="n">
        <f aca="false">D17</f>
        <v>3839.6256</v>
      </c>
      <c r="E45" s="20" t="n">
        <f aca="false">E17</f>
        <v>11542.9792</v>
      </c>
      <c r="F45" s="12" t="s">
        <v>203</v>
      </c>
    </row>
    <row r="46" customFormat="false" ht="15" hidden="false" customHeight="false" outlineLevel="0" collapsed="false">
      <c r="B46" s="0" t="s">
        <v>204</v>
      </c>
      <c r="C46" s="20" t="n">
        <f aca="false">C29</f>
        <v>1010.53584</v>
      </c>
      <c r="D46" s="20" t="n">
        <f aca="false">D29</f>
        <v>3839.6256</v>
      </c>
      <c r="E46" s="20" t="n">
        <f aca="false">E29</f>
        <v>17664.992</v>
      </c>
      <c r="F46" s="12" t="s">
        <v>205</v>
      </c>
    </row>
    <row r="47" customFormat="false" ht="15" hidden="false" customHeight="false" outlineLevel="0" collapsed="false">
      <c r="B47" s="0" t="s">
        <v>206</v>
      </c>
      <c r="C47" s="20" t="n">
        <f aca="false">C41</f>
        <v>7693.692</v>
      </c>
      <c r="D47" s="20" t="n">
        <f aca="false">D41</f>
        <v>11187.492</v>
      </c>
      <c r="E47" s="20" t="n">
        <f aca="false">E41</f>
        <v>20279.288</v>
      </c>
      <c r="F47" s="12" t="s">
        <v>207</v>
      </c>
    </row>
  </sheetData>
  <mergeCells count="6">
    <mergeCell ref="B2:F2"/>
    <mergeCell ref="B3:F3"/>
    <mergeCell ref="B5:F5"/>
    <mergeCell ref="B19:F19"/>
    <mergeCell ref="B31:F31"/>
    <mergeCell ref="B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9" min="3" style="0" width="13"/>
  </cols>
  <sheetData>
    <row r="1" customFormat="false" ht="17.35" hidden="false" customHeight="false" outlineLevel="0" collapsed="false">
      <c r="B1" s="6" t="s">
        <v>208</v>
      </c>
    </row>
    <row r="2" customFormat="false" ht="15" hidden="false" customHeight="false" outlineLevel="0" collapsed="false">
      <c r="B2" s="7" t="s">
        <v>209</v>
      </c>
      <c r="C2" s="7"/>
      <c r="D2" s="7"/>
      <c r="E2" s="7"/>
      <c r="F2" s="7"/>
      <c r="G2" s="7"/>
      <c r="H2" s="7"/>
      <c r="I2" s="7"/>
    </row>
    <row r="4" customFormat="false" ht="15" hidden="false" customHeight="false" outlineLevel="0" collapsed="false">
      <c r="B4" s="2" t="s">
        <v>210</v>
      </c>
      <c r="C4" s="21" t="n">
        <v>10</v>
      </c>
      <c r="D4" s="21" t="n">
        <v>25</v>
      </c>
      <c r="E4" s="21" t="n">
        <v>50</v>
      </c>
      <c r="F4" s="21" t="n">
        <v>100</v>
      </c>
      <c r="G4" s="21" t="n">
        <v>250</v>
      </c>
      <c r="H4" s="21" t="n">
        <v>500</v>
      </c>
      <c r="I4" s="21" t="n">
        <v>1000</v>
      </c>
    </row>
    <row r="5" customFormat="false" ht="15" hidden="false" customHeight="false" outlineLevel="0" collapsed="false">
      <c r="B5" s="7" t="s">
        <v>211</v>
      </c>
      <c r="C5" s="7"/>
      <c r="D5" s="7"/>
      <c r="E5" s="7"/>
      <c r="F5" s="7"/>
      <c r="G5" s="7"/>
      <c r="H5" s="7"/>
      <c r="I5" s="7"/>
    </row>
    <row r="6" customFormat="false" ht="15" hidden="false" customHeight="false" outlineLevel="0" collapsed="false">
      <c r="B6" s="5" t="s">
        <v>212</v>
      </c>
      <c r="C6" s="13" t="n">
        <v>0.5</v>
      </c>
      <c r="D6" s="13" t="n">
        <v>0.5</v>
      </c>
      <c r="E6" s="13" t="n">
        <v>0.5</v>
      </c>
      <c r="F6" s="13" t="n">
        <v>0.5</v>
      </c>
      <c r="G6" s="13" t="n">
        <v>0.5</v>
      </c>
      <c r="H6" s="13" t="n">
        <v>0.5</v>
      </c>
      <c r="I6" s="13" t="n">
        <v>0.5</v>
      </c>
    </row>
    <row r="7" customFormat="false" ht="15" hidden="false" customHeight="false" outlineLevel="0" collapsed="false">
      <c r="B7" s="5" t="s">
        <v>213</v>
      </c>
      <c r="C7" s="13" t="n">
        <v>0.4</v>
      </c>
      <c r="D7" s="13" t="n">
        <v>0.4</v>
      </c>
      <c r="E7" s="13" t="n">
        <v>0.4</v>
      </c>
      <c r="F7" s="13" t="n">
        <v>0.4</v>
      </c>
      <c r="G7" s="13" t="n">
        <v>0.4</v>
      </c>
      <c r="H7" s="13" t="n">
        <v>0.4</v>
      </c>
      <c r="I7" s="13" t="n">
        <v>0.4</v>
      </c>
    </row>
    <row r="8" customFormat="false" ht="15" hidden="false" customHeight="false" outlineLevel="0" collapsed="false">
      <c r="B8" s="5" t="s">
        <v>214</v>
      </c>
      <c r="C8" s="13" t="n">
        <v>0.1</v>
      </c>
      <c r="D8" s="13" t="n">
        <v>0.1</v>
      </c>
      <c r="E8" s="13" t="n">
        <v>0.1</v>
      </c>
      <c r="F8" s="13" t="n">
        <v>0.1</v>
      </c>
      <c r="G8" s="13" t="n">
        <v>0.1</v>
      </c>
      <c r="H8" s="13" t="n">
        <v>0.1</v>
      </c>
      <c r="I8" s="13" t="n">
        <v>0.1</v>
      </c>
    </row>
    <row r="9" customFormat="false" ht="15" hidden="false" customHeight="false" outlineLevel="0" collapsed="false">
      <c r="B9" s="22" t="s">
        <v>215</v>
      </c>
      <c r="C9" s="23" t="n">
        <f aca="false">SUM(C6:C8)</f>
        <v>1</v>
      </c>
      <c r="D9" s="23" t="n">
        <f aca="false">SUM(D6:D8)</f>
        <v>1</v>
      </c>
      <c r="E9" s="23" t="n">
        <f aca="false">SUM(E6:E8)</f>
        <v>1</v>
      </c>
      <c r="F9" s="23" t="n">
        <f aca="false">SUM(F6:F8)</f>
        <v>1</v>
      </c>
      <c r="G9" s="23" t="n">
        <f aca="false">SUM(G6:G8)</f>
        <v>1</v>
      </c>
      <c r="H9" s="23" t="n">
        <f aca="false">SUM(H6:H8)</f>
        <v>1</v>
      </c>
      <c r="I9" s="23" t="n">
        <f aca="false">SUM(I6:I8)</f>
        <v>1</v>
      </c>
    </row>
    <row r="11" customFormat="false" ht="15" hidden="false" customHeight="false" outlineLevel="0" collapsed="false">
      <c r="B11" s="8" t="s">
        <v>202</v>
      </c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B12" s="5" t="s">
        <v>216</v>
      </c>
      <c r="C12" s="19" t="n">
        <f aca="false">C6*MT_S+C7*MT_M+C8*MT_L</f>
        <v>3195.41608</v>
      </c>
      <c r="D12" s="19" t="n">
        <f aca="false">D6*MT_S+D7*MT_M+D8*MT_L</f>
        <v>3195.41608</v>
      </c>
      <c r="E12" s="19" t="n">
        <f aca="false">E6*MT_S+E7*MT_M+E8*MT_L</f>
        <v>3195.41608</v>
      </c>
      <c r="F12" s="19" t="n">
        <f aca="false">F6*MT_S+F7*MT_M+F8*MT_L</f>
        <v>3195.41608</v>
      </c>
      <c r="G12" s="19" t="n">
        <f aca="false">G6*MT_S+G7*MT_M+G8*MT_L</f>
        <v>3195.41608</v>
      </c>
      <c r="H12" s="19" t="n">
        <f aca="false">H6*MT_S+H7*MT_M+H8*MT_L</f>
        <v>3195.41608</v>
      </c>
      <c r="I12" s="19" t="n">
        <f aca="false">I6*MT_S+I7*MT_M+I8*MT_L</f>
        <v>3195.41608</v>
      </c>
    </row>
    <row r="13" customFormat="false" ht="15" hidden="false" customHeight="false" outlineLevel="0" collapsed="false">
      <c r="B13" s="5" t="s">
        <v>217</v>
      </c>
      <c r="C13" s="19" t="n">
        <f aca="false">C12*C4</f>
        <v>31954.1608</v>
      </c>
      <c r="D13" s="19" t="n">
        <f aca="false">D12*D4</f>
        <v>79885.402</v>
      </c>
      <c r="E13" s="19" t="n">
        <f aca="false">E12*E4</f>
        <v>159770.804</v>
      </c>
      <c r="F13" s="19" t="n">
        <f aca="false">F12*F4</f>
        <v>319541.608</v>
      </c>
      <c r="G13" s="19" t="n">
        <f aca="false">G12*G4</f>
        <v>798854.02</v>
      </c>
      <c r="H13" s="19" t="n">
        <f aca="false">H12*H4</f>
        <v>1597708.04</v>
      </c>
      <c r="I13" s="19" t="n">
        <f aca="false">I12*I4</f>
        <v>3195416.08</v>
      </c>
    </row>
    <row r="14" customFormat="false" ht="15" hidden="false" customHeight="false" outlineLevel="0" collapsed="false">
      <c r="B14" s="5" t="s">
        <v>218</v>
      </c>
      <c r="C14" s="19" t="n">
        <f aca="false">SHARED_MO*12</f>
        <v>63600</v>
      </c>
      <c r="D14" s="19" t="n">
        <f aca="false">SHARED_MO*12</f>
        <v>63600</v>
      </c>
      <c r="E14" s="19" t="n">
        <f aca="false">SHARED_MO*12</f>
        <v>63600</v>
      </c>
      <c r="F14" s="19" t="n">
        <f aca="false">SHARED_MO*12</f>
        <v>63600</v>
      </c>
      <c r="G14" s="19" t="n">
        <f aca="false">SHARED_MO*12</f>
        <v>63600</v>
      </c>
      <c r="H14" s="19" t="n">
        <f aca="false">SHARED_MO*12</f>
        <v>63600</v>
      </c>
      <c r="I14" s="19" t="n">
        <f aca="false">SHARED_MO*12</f>
        <v>63600</v>
      </c>
    </row>
    <row r="15" customFormat="false" ht="15" hidden="false" customHeight="false" outlineLevel="0" collapsed="false">
      <c r="B15" s="5" t="s">
        <v>219</v>
      </c>
      <c r="C15" s="19" t="n">
        <f aca="false">C14/C4</f>
        <v>6360</v>
      </c>
      <c r="D15" s="19" t="n">
        <f aca="false">D14/D4</f>
        <v>2544</v>
      </c>
      <c r="E15" s="19" t="n">
        <f aca="false">E14/E4</f>
        <v>1272</v>
      </c>
      <c r="F15" s="19" t="n">
        <f aca="false">F14/F4</f>
        <v>636</v>
      </c>
      <c r="G15" s="19" t="n">
        <f aca="false">G14/G4</f>
        <v>254.4</v>
      </c>
      <c r="H15" s="19" t="n">
        <f aca="false">H14/H4</f>
        <v>127.2</v>
      </c>
      <c r="I15" s="19" t="n">
        <f aca="false">I14/I4</f>
        <v>63.6</v>
      </c>
    </row>
    <row r="16" customFormat="false" ht="15" hidden="false" customHeight="false" outlineLevel="0" collapsed="false">
      <c r="B16" s="17" t="s">
        <v>220</v>
      </c>
      <c r="C16" s="18" t="n">
        <f aca="false">C12+C15</f>
        <v>9555.41608</v>
      </c>
      <c r="D16" s="18" t="n">
        <f aca="false">D12+D15</f>
        <v>5739.41608</v>
      </c>
      <c r="E16" s="18" t="n">
        <f aca="false">E12+E15</f>
        <v>4467.41608</v>
      </c>
      <c r="F16" s="18" t="n">
        <f aca="false">F12+F15</f>
        <v>3831.41608</v>
      </c>
      <c r="G16" s="18" t="n">
        <f aca="false">G12+G15</f>
        <v>3449.81608</v>
      </c>
      <c r="H16" s="18" t="n">
        <f aca="false">H12+H15</f>
        <v>3322.61608</v>
      </c>
      <c r="I16" s="18" t="n">
        <f aca="false">I12+I15</f>
        <v>3259.01608</v>
      </c>
    </row>
    <row r="18" customFormat="false" ht="15" hidden="false" customHeight="false" outlineLevel="0" collapsed="false">
      <c r="B18" s="8" t="s">
        <v>221</v>
      </c>
      <c r="C18" s="8"/>
      <c r="D18" s="8"/>
      <c r="E18" s="8"/>
      <c r="F18" s="8"/>
      <c r="G18" s="8"/>
      <c r="H18" s="8"/>
      <c r="I18" s="8"/>
    </row>
    <row r="19" customFormat="false" ht="15" hidden="false" customHeight="false" outlineLevel="0" collapsed="false">
      <c r="B19" s="5" t="s">
        <v>216</v>
      </c>
      <c r="C19" s="19" t="n">
        <f aca="false">C6*HY_S+C7*HY_M+C8*HY_L</f>
        <v>3807.61736</v>
      </c>
      <c r="D19" s="19" t="n">
        <f aca="false">D6*HY_S+D7*HY_M+D8*HY_L</f>
        <v>3807.61736</v>
      </c>
      <c r="E19" s="19" t="n">
        <f aca="false">E6*HY_S+E7*HY_M+E8*HY_L</f>
        <v>3807.61736</v>
      </c>
      <c r="F19" s="19" t="n">
        <f aca="false">F6*HY_S+F7*HY_M+F8*HY_L</f>
        <v>3807.61736</v>
      </c>
      <c r="G19" s="19" t="n">
        <f aca="false">G6*HY_S+G7*HY_M+G8*HY_L</f>
        <v>3807.61736</v>
      </c>
      <c r="H19" s="19" t="n">
        <f aca="false">H6*HY_S+H7*HY_M+H8*HY_L</f>
        <v>3807.61736</v>
      </c>
      <c r="I19" s="19" t="n">
        <f aca="false">I6*HY_S+I7*HY_M+I8*HY_L</f>
        <v>3807.61736</v>
      </c>
    </row>
    <row r="20" customFormat="false" ht="15" hidden="false" customHeight="false" outlineLevel="0" collapsed="false">
      <c r="B20" s="5" t="s">
        <v>217</v>
      </c>
      <c r="C20" s="19" t="n">
        <f aca="false">C19*C4</f>
        <v>38076.1736</v>
      </c>
      <c r="D20" s="19" t="n">
        <f aca="false">D19*D4</f>
        <v>95190.434</v>
      </c>
      <c r="E20" s="19" t="n">
        <f aca="false">E19*E4</f>
        <v>190380.868</v>
      </c>
      <c r="F20" s="19" t="n">
        <f aca="false">F19*F4</f>
        <v>380761.736</v>
      </c>
      <c r="G20" s="19" t="n">
        <f aca="false">G19*G4</f>
        <v>951904.34</v>
      </c>
      <c r="H20" s="19" t="n">
        <f aca="false">H19*H4</f>
        <v>1903808.68</v>
      </c>
      <c r="I20" s="19" t="n">
        <f aca="false">I19*I4</f>
        <v>3807617.36</v>
      </c>
    </row>
    <row r="21" customFormat="false" ht="15" hidden="false" customHeight="false" outlineLevel="0" collapsed="false">
      <c r="B21" s="5" t="s">
        <v>218</v>
      </c>
      <c r="C21" s="19" t="n">
        <f aca="false">SHARED_MO*12</f>
        <v>63600</v>
      </c>
      <c r="D21" s="19" t="n">
        <f aca="false">SHARED_MO*12</f>
        <v>63600</v>
      </c>
      <c r="E21" s="19" t="n">
        <f aca="false">SHARED_MO*12</f>
        <v>63600</v>
      </c>
      <c r="F21" s="19" t="n">
        <f aca="false">SHARED_MO*12</f>
        <v>63600</v>
      </c>
      <c r="G21" s="19" t="n">
        <f aca="false">SHARED_MO*12</f>
        <v>63600</v>
      </c>
      <c r="H21" s="19" t="n">
        <f aca="false">SHARED_MO*12</f>
        <v>63600</v>
      </c>
      <c r="I21" s="19" t="n">
        <f aca="false">SHARED_MO*12</f>
        <v>63600</v>
      </c>
    </row>
    <row r="22" customFormat="false" ht="15" hidden="false" customHeight="false" outlineLevel="0" collapsed="false">
      <c r="B22" s="5" t="s">
        <v>219</v>
      </c>
      <c r="C22" s="19" t="n">
        <f aca="false">C21/C4</f>
        <v>6360</v>
      </c>
      <c r="D22" s="19" t="n">
        <f aca="false">D21/D4</f>
        <v>2544</v>
      </c>
      <c r="E22" s="19" t="n">
        <f aca="false">E21/E4</f>
        <v>1272</v>
      </c>
      <c r="F22" s="19" t="n">
        <f aca="false">F21/F4</f>
        <v>636</v>
      </c>
      <c r="G22" s="19" t="n">
        <f aca="false">G21/G4</f>
        <v>254.4</v>
      </c>
      <c r="H22" s="19" t="n">
        <f aca="false">H21/H4</f>
        <v>127.2</v>
      </c>
      <c r="I22" s="19" t="n">
        <f aca="false">I21/I4</f>
        <v>63.6</v>
      </c>
    </row>
    <row r="23" customFormat="false" ht="15" hidden="false" customHeight="false" outlineLevel="0" collapsed="false">
      <c r="B23" s="17" t="s">
        <v>220</v>
      </c>
      <c r="C23" s="18" t="n">
        <f aca="false">C19+C22</f>
        <v>10167.61736</v>
      </c>
      <c r="D23" s="18" t="n">
        <f aca="false">D19+D22</f>
        <v>6351.61736</v>
      </c>
      <c r="E23" s="18" t="n">
        <f aca="false">E19+E22</f>
        <v>5079.61736</v>
      </c>
      <c r="F23" s="18" t="n">
        <f aca="false">F19+F22</f>
        <v>4443.61736</v>
      </c>
      <c r="G23" s="18" t="n">
        <f aca="false">G19+G22</f>
        <v>4062.01736</v>
      </c>
      <c r="H23" s="18" t="n">
        <f aca="false">H19+H22</f>
        <v>3934.81736</v>
      </c>
      <c r="I23" s="18" t="n">
        <f aca="false">I19+I22</f>
        <v>3871.21736</v>
      </c>
    </row>
    <row r="25" customFormat="false" ht="15" hidden="false" customHeight="false" outlineLevel="0" collapsed="false">
      <c r="B25" s="8" t="s">
        <v>206</v>
      </c>
      <c r="C25" s="8"/>
      <c r="D25" s="8"/>
      <c r="E25" s="8"/>
      <c r="F25" s="8"/>
      <c r="G25" s="8"/>
      <c r="H25" s="8"/>
      <c r="I25" s="8"/>
    </row>
    <row r="26" customFormat="false" ht="15" hidden="false" customHeight="false" outlineLevel="0" collapsed="false">
      <c r="B26" s="5" t="s">
        <v>216</v>
      </c>
      <c r="C26" s="19" t="n">
        <f aca="false">C6*IS_S+C7*IS_M+C8*IS_L</f>
        <v>10349.7716</v>
      </c>
      <c r="D26" s="19" t="n">
        <f aca="false">D6*IS_S+D7*IS_M+D8*IS_L</f>
        <v>10349.7716</v>
      </c>
      <c r="E26" s="19" t="n">
        <f aca="false">E6*IS_S+E7*IS_M+E8*IS_L</f>
        <v>10349.7716</v>
      </c>
      <c r="F26" s="19" t="n">
        <f aca="false">F6*IS_S+F7*IS_M+F8*IS_L</f>
        <v>10349.7716</v>
      </c>
      <c r="G26" s="19" t="n">
        <f aca="false">G6*IS_S+G7*IS_M+G8*IS_L</f>
        <v>10349.7716</v>
      </c>
      <c r="H26" s="19" t="n">
        <f aca="false">H6*IS_S+H7*IS_M+H8*IS_L</f>
        <v>10349.7716</v>
      </c>
      <c r="I26" s="19" t="n">
        <f aca="false">I6*IS_S+I7*IS_M+I8*IS_L</f>
        <v>10349.7716</v>
      </c>
    </row>
    <row r="27" customFormat="false" ht="15" hidden="false" customHeight="false" outlineLevel="0" collapsed="false">
      <c r="B27" s="5" t="s">
        <v>217</v>
      </c>
      <c r="C27" s="19" t="n">
        <f aca="false">C26*C4</f>
        <v>103497.716</v>
      </c>
      <c r="D27" s="19" t="n">
        <f aca="false">D26*D4</f>
        <v>258744.29</v>
      </c>
      <c r="E27" s="19" t="n">
        <f aca="false">E26*E4</f>
        <v>517488.58</v>
      </c>
      <c r="F27" s="19" t="n">
        <f aca="false">F26*F4</f>
        <v>1034977.16</v>
      </c>
      <c r="G27" s="19" t="n">
        <f aca="false">G26*G4</f>
        <v>2587442.9</v>
      </c>
      <c r="H27" s="19" t="n">
        <f aca="false">H26*H4</f>
        <v>5174885.8</v>
      </c>
      <c r="I27" s="19" t="n">
        <f aca="false">I26*I4</f>
        <v>10349771.6</v>
      </c>
    </row>
    <row r="28" customFormat="false" ht="15" hidden="false" customHeight="false" outlineLevel="0" collapsed="false">
      <c r="B28" s="5" t="s">
        <v>218</v>
      </c>
      <c r="C28" s="19" t="n">
        <f aca="false">SHARED_MO*12</f>
        <v>63600</v>
      </c>
      <c r="D28" s="19" t="n">
        <f aca="false">SHARED_MO*12</f>
        <v>63600</v>
      </c>
      <c r="E28" s="19" t="n">
        <f aca="false">SHARED_MO*12</f>
        <v>63600</v>
      </c>
      <c r="F28" s="19" t="n">
        <f aca="false">SHARED_MO*12</f>
        <v>63600</v>
      </c>
      <c r="G28" s="19" t="n">
        <f aca="false">SHARED_MO*12</f>
        <v>63600</v>
      </c>
      <c r="H28" s="19" t="n">
        <f aca="false">SHARED_MO*12</f>
        <v>63600</v>
      </c>
      <c r="I28" s="19" t="n">
        <f aca="false">SHARED_MO*12</f>
        <v>63600</v>
      </c>
    </row>
    <row r="29" customFormat="false" ht="15" hidden="false" customHeight="false" outlineLevel="0" collapsed="false">
      <c r="B29" s="5" t="s">
        <v>219</v>
      </c>
      <c r="C29" s="19" t="n">
        <f aca="false">C28/C4</f>
        <v>6360</v>
      </c>
      <c r="D29" s="19" t="n">
        <f aca="false">D28/D4</f>
        <v>2544</v>
      </c>
      <c r="E29" s="19" t="n">
        <f aca="false">E28/E4</f>
        <v>1272</v>
      </c>
      <c r="F29" s="19" t="n">
        <f aca="false">F28/F4</f>
        <v>636</v>
      </c>
      <c r="G29" s="19" t="n">
        <f aca="false">G28/G4</f>
        <v>254.4</v>
      </c>
      <c r="H29" s="19" t="n">
        <f aca="false">H28/H4</f>
        <v>127.2</v>
      </c>
      <c r="I29" s="19" t="n">
        <f aca="false">I28/I4</f>
        <v>63.6</v>
      </c>
    </row>
    <row r="30" customFormat="false" ht="15" hidden="false" customHeight="false" outlineLevel="0" collapsed="false">
      <c r="B30" s="17" t="s">
        <v>220</v>
      </c>
      <c r="C30" s="18" t="n">
        <f aca="false">C26+C29</f>
        <v>16709.7716</v>
      </c>
      <c r="D30" s="18" t="n">
        <f aca="false">D26+D29</f>
        <v>12893.7716</v>
      </c>
      <c r="E30" s="18" t="n">
        <f aca="false">E26+E29</f>
        <v>11621.7716</v>
      </c>
      <c r="F30" s="18" t="n">
        <f aca="false">F26+F29</f>
        <v>10985.7716</v>
      </c>
      <c r="G30" s="18" t="n">
        <f aca="false">G26+G29</f>
        <v>10604.1716</v>
      </c>
      <c r="H30" s="18" t="n">
        <f aca="false">H26+H29</f>
        <v>10476.9716</v>
      </c>
      <c r="I30" s="18" t="n">
        <f aca="false">I26+I29</f>
        <v>10413.3716</v>
      </c>
    </row>
  </sheetData>
  <mergeCells count="5">
    <mergeCell ref="B2:I2"/>
    <mergeCell ref="B5:I5"/>
    <mergeCell ref="B11:I11"/>
    <mergeCell ref="B18:I18"/>
    <mergeCell ref="B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5" min="3" style="0" width="14"/>
    <col collapsed="false" customWidth="true" hidden="false" outlineLevel="0" max="6" min="6" style="0" width="30"/>
  </cols>
  <sheetData>
    <row r="1" customFormat="false" ht="17.35" hidden="false" customHeight="false" outlineLevel="0" collapsed="false">
      <c r="B1" s="6" t="s">
        <v>222</v>
      </c>
    </row>
    <row r="2" customFormat="false" ht="15" hidden="false" customHeight="false" outlineLevel="0" collapsed="false">
      <c r="B2" s="7" t="s">
        <v>223</v>
      </c>
      <c r="C2" s="7"/>
      <c r="D2" s="7"/>
      <c r="E2" s="7"/>
      <c r="F2" s="7"/>
    </row>
    <row r="4" customFormat="false" ht="15" hidden="false" customHeight="false" outlineLevel="0" collapsed="false">
      <c r="B4" s="8" t="s">
        <v>224</v>
      </c>
      <c r="C4" s="8"/>
      <c r="D4" s="8"/>
      <c r="E4" s="8"/>
      <c r="F4" s="8"/>
    </row>
    <row r="5" customFormat="false" ht="15" hidden="false" customHeight="false" outlineLevel="0" collapsed="false">
      <c r="B5" s="24"/>
      <c r="C5" s="24" t="s">
        <v>92</v>
      </c>
      <c r="D5" s="24" t="s">
        <v>93</v>
      </c>
      <c r="E5" s="24" t="s">
        <v>94</v>
      </c>
      <c r="F5" s="24" t="s">
        <v>201</v>
      </c>
    </row>
    <row r="6" customFormat="false" ht="15" hidden="false" customHeight="false" outlineLevel="0" collapsed="false">
      <c r="B6" s="0" t="s">
        <v>225</v>
      </c>
      <c r="C6" s="20" t="n">
        <f aca="false">ACV_FULL_S</f>
        <v>4500</v>
      </c>
      <c r="D6" s="20" t="n">
        <f aca="false">ACV_FULL_M</f>
        <v>10800</v>
      </c>
      <c r="E6" s="20" t="n">
        <f aca="false">ACV_FULL_L</f>
        <v>22000</v>
      </c>
      <c r="F6" s="12" t="s">
        <v>226</v>
      </c>
    </row>
    <row r="7" customFormat="false" ht="15" hidden="false" customHeight="false" outlineLevel="0" collapsed="false">
      <c r="B7" s="0" t="s">
        <v>227</v>
      </c>
      <c r="C7" s="20" t="n">
        <f aca="false">MT_S</f>
        <v>1010.53584</v>
      </c>
      <c r="D7" s="20" t="n">
        <f aca="false">MT_M</f>
        <v>3839.6256</v>
      </c>
      <c r="E7" s="20" t="n">
        <f aca="false">MT_L</f>
        <v>11542.9792</v>
      </c>
      <c r="F7" s="12" t="s">
        <v>228</v>
      </c>
    </row>
    <row r="8" customFormat="false" ht="15" hidden="false" customHeight="false" outlineLevel="0" collapsed="false">
      <c r="B8" s="0" t="s">
        <v>229</v>
      </c>
      <c r="C8" s="18" t="n">
        <f aca="false">C6-C7</f>
        <v>3489.46416</v>
      </c>
      <c r="D8" s="18" t="n">
        <f aca="false">D6-D7</f>
        <v>6960.3744</v>
      </c>
      <c r="E8" s="18" t="n">
        <f aca="false">E6-E7</f>
        <v>10457.0208</v>
      </c>
    </row>
    <row r="9" customFormat="false" ht="15" hidden="false" customHeight="false" outlineLevel="0" collapsed="false">
      <c r="B9" s="0" t="s">
        <v>230</v>
      </c>
      <c r="C9" s="25" t="n">
        <f aca="false">C8/C6</f>
        <v>0.77543648</v>
      </c>
      <c r="D9" s="25" t="n">
        <f aca="false">D8/D6</f>
        <v>0.644479111111111</v>
      </c>
      <c r="E9" s="25" t="n">
        <f aca="false">E8/E6</f>
        <v>0.475319127272727</v>
      </c>
      <c r="F9" s="12" t="s">
        <v>231</v>
      </c>
    </row>
    <row r="11" customFormat="false" ht="15" hidden="false" customHeight="false" outlineLevel="0" collapsed="false">
      <c r="B11" s="8" t="s">
        <v>232</v>
      </c>
      <c r="C11" s="8"/>
      <c r="D11" s="8"/>
      <c r="E11" s="8"/>
      <c r="F11" s="8"/>
    </row>
    <row r="12" customFormat="false" ht="15" hidden="false" customHeight="false" outlineLevel="0" collapsed="false">
      <c r="B12" s="24"/>
      <c r="C12" s="24" t="s">
        <v>92</v>
      </c>
      <c r="D12" s="24" t="s">
        <v>93</v>
      </c>
      <c r="E12" s="24" t="s">
        <v>94</v>
      </c>
      <c r="F12" s="24" t="s">
        <v>201</v>
      </c>
    </row>
    <row r="13" customFormat="false" ht="15" hidden="false" customHeight="false" outlineLevel="0" collapsed="false">
      <c r="B13" s="0" t="s">
        <v>233</v>
      </c>
      <c r="C13" s="20" t="n">
        <f aca="false">ACV_FULL_S*(1-FC_Y1_DISC_S)</f>
        <v>0</v>
      </c>
      <c r="D13" s="20" t="n">
        <f aca="false">ACV_FULL_M*(1-FC_Y1_DISC_M)</f>
        <v>0</v>
      </c>
      <c r="E13" s="20" t="n">
        <f aca="false">ACV_FULL_L*(1-FC_Y1_DISC_L)</f>
        <v>0</v>
      </c>
      <c r="F13" s="12" t="s">
        <v>234</v>
      </c>
    </row>
    <row r="14" customFormat="false" ht="15" hidden="false" customHeight="false" outlineLevel="0" collapsed="false">
      <c r="B14" s="0" t="s">
        <v>235</v>
      </c>
      <c r="C14" s="20" t="n">
        <f aca="false">IMPL_FEE_S</f>
        <v>2500</v>
      </c>
      <c r="D14" s="20" t="n">
        <f aca="false">IMPL_FEE_M</f>
        <v>5000</v>
      </c>
      <c r="E14" s="20" t="n">
        <f aca="false">IMPL_FEE_L</f>
        <v>12000</v>
      </c>
      <c r="F14" s="12" t="s">
        <v>236</v>
      </c>
    </row>
    <row r="15" customFormat="false" ht="15" hidden="false" customHeight="false" outlineLevel="0" collapsed="false">
      <c r="B15" s="0" t="s">
        <v>237</v>
      </c>
      <c r="C15" s="26" t="n">
        <f aca="false">C13+C14</f>
        <v>2500</v>
      </c>
      <c r="D15" s="26" t="n">
        <f aca="false">D13+D14</f>
        <v>5000</v>
      </c>
      <c r="E15" s="26" t="n">
        <f aca="false">E13+E14</f>
        <v>12000</v>
      </c>
    </row>
    <row r="16" customFormat="false" ht="15" hidden="false" customHeight="false" outlineLevel="0" collapsed="false">
      <c r="B16" s="0" t="s">
        <v>238</v>
      </c>
      <c r="C16" s="20" t="n">
        <f aca="false">MT_S</f>
        <v>1010.53584</v>
      </c>
      <c r="D16" s="20" t="n">
        <f aca="false">MT_M</f>
        <v>3839.6256</v>
      </c>
      <c r="E16" s="20" t="n">
        <f aca="false">MT_L</f>
        <v>11542.9792</v>
      </c>
    </row>
    <row r="17" customFormat="false" ht="15" hidden="false" customHeight="false" outlineLevel="0" collapsed="false">
      <c r="B17" s="0" t="s">
        <v>239</v>
      </c>
      <c r="C17" s="19" t="n">
        <f aca="false">ENG_HR*IMPL_HRS_S</f>
        <v>2800</v>
      </c>
      <c r="D17" s="19" t="n">
        <f aca="false">ENG_HR*IMPL_HRS_M</f>
        <v>7000</v>
      </c>
      <c r="E17" s="19" t="n">
        <f aca="false">ENG_HR*IMPL_HRS_L</f>
        <v>17500</v>
      </c>
      <c r="F17" s="12" t="s">
        <v>240</v>
      </c>
    </row>
    <row r="18" customFormat="false" ht="15" hidden="false" customHeight="false" outlineLevel="0" collapsed="false">
      <c r="B18" s="0" t="s">
        <v>241</v>
      </c>
      <c r="C18" s="26" t="n">
        <f aca="false">C16+C17</f>
        <v>3810.53584</v>
      </c>
      <c r="D18" s="26" t="n">
        <f aca="false">D16+D17</f>
        <v>10839.6256</v>
      </c>
      <c r="E18" s="26" t="n">
        <f aca="false">E16+E17</f>
        <v>29042.9792</v>
      </c>
    </row>
    <row r="19" customFormat="false" ht="15" hidden="false" customHeight="false" outlineLevel="0" collapsed="false">
      <c r="B19" s="0" t="s">
        <v>242</v>
      </c>
      <c r="C19" s="18" t="n">
        <f aca="false">C15-C18</f>
        <v>-1310.53584</v>
      </c>
      <c r="D19" s="18" t="n">
        <f aca="false">D15-D18</f>
        <v>-5839.6256</v>
      </c>
      <c r="E19" s="18" t="n">
        <f aca="false">E15-E18</f>
        <v>-17042.9792</v>
      </c>
      <c r="F19" s="12" t="s">
        <v>243</v>
      </c>
    </row>
    <row r="21" customFormat="false" ht="15" hidden="false" customHeight="false" outlineLevel="0" collapsed="false">
      <c r="B21" s="8" t="s">
        <v>244</v>
      </c>
      <c r="C21" s="8"/>
      <c r="D21" s="8"/>
      <c r="E21" s="8"/>
      <c r="F21" s="8"/>
    </row>
    <row r="22" customFormat="false" ht="15" hidden="false" customHeight="false" outlineLevel="0" collapsed="false">
      <c r="B22" s="24"/>
      <c r="C22" s="24" t="s">
        <v>92</v>
      </c>
      <c r="D22" s="24" t="s">
        <v>93</v>
      </c>
      <c r="E22" s="24" t="s">
        <v>94</v>
      </c>
      <c r="F22" s="24" t="s">
        <v>201</v>
      </c>
    </row>
    <row r="23" customFormat="false" ht="15" hidden="false" customHeight="false" outlineLevel="0" collapsed="false">
      <c r="B23" s="0" t="s">
        <v>245</v>
      </c>
      <c r="C23" s="20" t="n">
        <f aca="false">ACV_FULL_S*(1-FC_Y2_DISC_S)</f>
        <v>2250</v>
      </c>
      <c r="D23" s="20" t="n">
        <f aca="false">ACV_FULL_M*(1-FC_Y2_DISC_M)</f>
        <v>5400</v>
      </c>
      <c r="E23" s="20" t="n">
        <f aca="false">ACV_FULL_L*(1-FC_Y2_DISC_L)</f>
        <v>11000</v>
      </c>
    </row>
    <row r="24" customFormat="false" ht="15" hidden="false" customHeight="false" outlineLevel="0" collapsed="false">
      <c r="B24" s="0" t="s">
        <v>246</v>
      </c>
      <c r="C24" s="20" t="n">
        <f aca="false">MT_S</f>
        <v>1010.53584</v>
      </c>
      <c r="D24" s="20" t="n">
        <f aca="false">MT_M</f>
        <v>3839.6256</v>
      </c>
      <c r="E24" s="20" t="n">
        <f aca="false">MT_L</f>
        <v>11542.9792</v>
      </c>
      <c r="F24" s="12" t="s">
        <v>247</v>
      </c>
    </row>
    <row r="25" customFormat="false" ht="15" hidden="false" customHeight="false" outlineLevel="0" collapsed="false">
      <c r="B25" s="0" t="s">
        <v>248</v>
      </c>
      <c r="C25" s="26" t="n">
        <f aca="false">C23+C24</f>
        <v>3260.53584</v>
      </c>
      <c r="D25" s="26" t="n">
        <f aca="false">D23+D24</f>
        <v>9239.6256</v>
      </c>
      <c r="E25" s="26" t="n">
        <f aca="false">E23+E24</f>
        <v>22542.9792</v>
      </c>
    </row>
    <row r="26" customFormat="false" ht="15" hidden="false" customHeight="false" outlineLevel="0" collapsed="false">
      <c r="B26" s="0" t="s">
        <v>249</v>
      </c>
      <c r="C26" s="20" t="n">
        <f aca="false">MT_S</f>
        <v>1010.53584</v>
      </c>
      <c r="D26" s="20" t="n">
        <f aca="false">MT_M</f>
        <v>3839.6256</v>
      </c>
      <c r="E26" s="20" t="n">
        <f aca="false">MT_L</f>
        <v>11542.9792</v>
      </c>
    </row>
    <row r="27" customFormat="false" ht="15" hidden="false" customHeight="false" outlineLevel="0" collapsed="false">
      <c r="B27" s="0" t="s">
        <v>250</v>
      </c>
      <c r="C27" s="18" t="n">
        <f aca="false">C25-C26</f>
        <v>2250</v>
      </c>
      <c r="D27" s="18" t="n">
        <f aca="false">D25-D26</f>
        <v>5400</v>
      </c>
      <c r="E27" s="18" t="n">
        <f aca="false">E25-E26</f>
        <v>11000</v>
      </c>
    </row>
    <row r="28" customFormat="false" ht="15" hidden="false" customHeight="false" outlineLevel="0" collapsed="false">
      <c r="B28" s="0" t="s">
        <v>230</v>
      </c>
      <c r="C28" s="25" t="n">
        <f aca="false">C27/C25</f>
        <v>0.690070623483777</v>
      </c>
      <c r="D28" s="25" t="n">
        <f aca="false">D27/D25</f>
        <v>0.584439265591021</v>
      </c>
      <c r="E28" s="25" t="n">
        <f aca="false">E27/E25</f>
        <v>0.487956800315018</v>
      </c>
    </row>
    <row r="30" customFormat="false" ht="15" hidden="false" customHeight="false" outlineLevel="0" collapsed="false">
      <c r="B30" s="8" t="s">
        <v>251</v>
      </c>
      <c r="C30" s="8"/>
      <c r="D30" s="8"/>
      <c r="E30" s="8"/>
      <c r="F30" s="8"/>
    </row>
    <row r="31" customFormat="false" ht="15" hidden="false" customHeight="false" outlineLevel="0" collapsed="false">
      <c r="B31" s="24"/>
      <c r="C31" s="24" t="s">
        <v>92</v>
      </c>
      <c r="D31" s="24" t="s">
        <v>93</v>
      </c>
      <c r="E31" s="24" t="s">
        <v>94</v>
      </c>
      <c r="F31" s="24" t="s">
        <v>252</v>
      </c>
    </row>
    <row r="32" customFormat="false" ht="15" hidden="false" customHeight="false" outlineLevel="0" collapsed="false">
      <c r="B32" s="0" t="s">
        <v>253</v>
      </c>
      <c r="C32" s="19" t="n">
        <f aca="false">C15-C18</f>
        <v>-1310.53584</v>
      </c>
      <c r="D32" s="19" t="n">
        <f aca="false">D15-D18</f>
        <v>-5839.6256</v>
      </c>
      <c r="E32" s="19" t="n">
        <f aca="false">E15-E18</f>
        <v>-17042.9792</v>
      </c>
    </row>
    <row r="33" customFormat="false" ht="15" hidden="false" customHeight="false" outlineLevel="0" collapsed="false">
      <c r="B33" s="0" t="s">
        <v>254</v>
      </c>
      <c r="C33" s="19" t="n">
        <f aca="false">C27*4</f>
        <v>9000</v>
      </c>
      <c r="D33" s="19" t="n">
        <f aca="false">D27*4</f>
        <v>21600</v>
      </c>
      <c r="E33" s="19" t="n">
        <f aca="false">E27*4</f>
        <v>44000</v>
      </c>
    </row>
    <row r="34" customFormat="false" ht="15" hidden="false" customHeight="false" outlineLevel="0" collapsed="false">
      <c r="B34" s="0" t="s">
        <v>255</v>
      </c>
      <c r="C34" s="27" t="n">
        <f aca="false">C32+C33</f>
        <v>7689.46416</v>
      </c>
      <c r="D34" s="27" t="n">
        <f aca="false">D32+D33</f>
        <v>15760.3744</v>
      </c>
      <c r="E34" s="27" t="n">
        <f aca="false">E32+E33</f>
        <v>26957.0208</v>
      </c>
    </row>
    <row r="35" customFormat="false" ht="15" hidden="false" customHeight="false" outlineLevel="0" collapsed="false">
      <c r="B35" s="0" t="s">
        <v>256</v>
      </c>
      <c r="C35" s="28" t="n">
        <f aca="false">IF(C27&gt;0,ABS(C15-C18)/C27*12,0)</f>
        <v>6.98952448</v>
      </c>
      <c r="D35" s="28" t="n">
        <f aca="false">IF(D27&gt;0,ABS(D15-D18)/D27*12,0)</f>
        <v>12.9769457777778</v>
      </c>
      <c r="E35" s="28" t="n">
        <f aca="false">IF(E27&gt;0,ABS(E15-E18)/E27*12,0)</f>
        <v>18.5923409454546</v>
      </c>
      <c r="F35" s="12" t="s">
        <v>257</v>
      </c>
    </row>
  </sheetData>
  <mergeCells count="5">
    <mergeCell ref="B2:F2"/>
    <mergeCell ref="B4:F4"/>
    <mergeCell ref="B11:F11"/>
    <mergeCell ref="B21:F21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5" min="3" style="0" width="14"/>
    <col collapsed="false" customWidth="true" hidden="false" outlineLevel="0" max="6" min="6" style="0" width="32"/>
  </cols>
  <sheetData>
    <row r="1" customFormat="false" ht="17.35" hidden="false" customHeight="false" outlineLevel="0" collapsed="false">
      <c r="B1" s="6" t="s">
        <v>258</v>
      </c>
    </row>
    <row r="2" customFormat="false" ht="15" hidden="false" customHeight="false" outlineLevel="0" collapsed="false">
      <c r="B2" s="7" t="s">
        <v>259</v>
      </c>
      <c r="C2" s="7"/>
      <c r="D2" s="7"/>
      <c r="E2" s="7"/>
      <c r="F2" s="7"/>
    </row>
    <row r="4" customFormat="false" ht="15" hidden="false" customHeight="false" outlineLevel="0" collapsed="false">
      <c r="B4" s="24" t="s">
        <v>260</v>
      </c>
      <c r="C4" s="24" t="s">
        <v>261</v>
      </c>
      <c r="D4" s="24" t="s">
        <v>262</v>
      </c>
      <c r="E4" s="24" t="s">
        <v>263</v>
      </c>
      <c r="F4" s="24" t="s">
        <v>201</v>
      </c>
    </row>
    <row r="5" customFormat="false" ht="15" hidden="false" customHeight="false" outlineLevel="0" collapsed="false">
      <c r="B5" s="17" t="s">
        <v>264</v>
      </c>
      <c r="C5" s="29" t="n">
        <f aca="false">MT_M</f>
        <v>3839.6256</v>
      </c>
      <c r="D5" s="30" t="n">
        <v>0</v>
      </c>
      <c r="E5" s="31" t="n">
        <v>0</v>
      </c>
    </row>
    <row r="6" customFormat="false" ht="15" hidden="false" customHeight="false" outlineLevel="0" collapsed="false">
      <c r="B6" s="5" t="s">
        <v>265</v>
      </c>
      <c r="C6" s="19" t="n">
        <f aca="false">MT_M+((AI_IN_M/1000000)*TKN_BLEND_IN+(AI_OUT_M/1000000)*TKN_BLEND_OUT)</f>
        <v>4874.6256</v>
      </c>
      <c r="D6" s="19" t="n">
        <f aca="false">C6-C5</f>
        <v>1035</v>
      </c>
      <c r="E6" s="23" t="n">
        <f aca="false">D6/C5</f>
        <v>0.269557531859356</v>
      </c>
      <c r="F6" s="12" t="s">
        <v>266</v>
      </c>
    </row>
    <row r="7" customFormat="false" ht="15" hidden="false" customHeight="false" outlineLevel="0" collapsed="false">
      <c r="B7" s="5" t="s">
        <v>267</v>
      </c>
      <c r="C7" s="19" t="n">
        <f aca="false">MT_M-((AI_IN_M/2000000)*TKN_BLEND_IN+(AI_OUT_M/2000000)*TKN_BLEND_OUT)</f>
        <v>3322.1256</v>
      </c>
      <c r="D7" s="19" t="n">
        <f aca="false">C7-C5</f>
        <v>-517.5</v>
      </c>
      <c r="E7" s="23" t="n">
        <f aca="false">D7/C5</f>
        <v>-0.134778765929678</v>
      </c>
      <c r="F7" s="12" t="s">
        <v>268</v>
      </c>
    </row>
    <row r="8" customFormat="false" ht="15" hidden="false" customHeight="false" outlineLevel="0" collapsed="false">
      <c r="B8" s="5" t="s">
        <v>269</v>
      </c>
      <c r="C8" s="19" t="n">
        <f aca="false">MT_M+EGRESS*EGRESS_GB_M*2</f>
        <v>3848.6256</v>
      </c>
      <c r="D8" s="19" t="n">
        <f aca="false">C8-C5</f>
        <v>9</v>
      </c>
      <c r="E8" s="23" t="n">
        <f aca="false">D8/C5</f>
        <v>0.00234397853790745</v>
      </c>
      <c r="F8" s="12" t="s">
        <v>270</v>
      </c>
    </row>
    <row r="9" customFormat="false" ht="15" hidden="false" customHeight="false" outlineLevel="0" collapsed="false">
      <c r="B9" s="5" t="s">
        <v>271</v>
      </c>
      <c r="C9" s="19" t="n">
        <f aca="false">MT_M+(CSM_HR*SUPPORT_HRS_M+ENG_HR*SUPPORT_HRS_M*0.2)</f>
        <v>5639.6256</v>
      </c>
      <c r="D9" s="19" t="n">
        <f aca="false">C9-C5</f>
        <v>1800</v>
      </c>
      <c r="E9" s="23" t="n">
        <f aca="false">D9/C5</f>
        <v>0.468795707581489</v>
      </c>
      <c r="F9" s="12" t="s">
        <v>272</v>
      </c>
    </row>
    <row r="10" customFormat="false" ht="15" hidden="false" customHeight="false" outlineLevel="0" collapsed="false">
      <c r="B10" s="5" t="s">
        <v>273</v>
      </c>
      <c r="C10" s="19" t="n">
        <f aca="false">MT_M+MONGO_M30*24*365*(DB_GB_M*2/200)+BACKUP*12*DB_GB_M*2</f>
        <v>5052.2256</v>
      </c>
      <c r="D10" s="19" t="n">
        <f aca="false">C10-C5</f>
        <v>1212.6</v>
      </c>
      <c r="E10" s="23" t="n">
        <f aca="false">D10/C5</f>
        <v>0.315812041674063</v>
      </c>
      <c r="F10" s="12" t="s">
        <v>274</v>
      </c>
    </row>
    <row r="11" customFormat="false" ht="15" hidden="false" customHeight="false" outlineLevel="0" collapsed="false">
      <c r="B11" s="5" t="s">
        <v>275</v>
      </c>
      <c r="C11" s="19" t="n">
        <f aca="false">MT_M*0.6</f>
        <v>2303.77536</v>
      </c>
      <c r="D11" s="19" t="n">
        <f aca="false">C11-C5</f>
        <v>-1535.85024</v>
      </c>
      <c r="E11" s="23" t="n">
        <f aca="false">D11/C5</f>
        <v>-0.4</v>
      </c>
      <c r="F11" s="12" t="s">
        <v>276</v>
      </c>
    </row>
    <row r="12" customFormat="false" ht="15" hidden="false" customHeight="false" outlineLevel="0" collapsed="false">
      <c r="B12" s="5" t="s">
        <v>277</v>
      </c>
      <c r="C12" s="19" t="n">
        <f aca="false">MT_M*0.85</f>
        <v>3263.68176</v>
      </c>
      <c r="D12" s="19" t="n">
        <f aca="false">C12-C5</f>
        <v>-575.94384</v>
      </c>
      <c r="E12" s="23" t="n">
        <f aca="false">D12/C5</f>
        <v>-0.15</v>
      </c>
      <c r="F12" s="12" t="s">
        <v>278</v>
      </c>
    </row>
    <row r="13" customFormat="false" ht="15" hidden="false" customHeight="false" outlineLevel="0" collapsed="false">
      <c r="B13" s="5" t="s">
        <v>279</v>
      </c>
      <c r="C13" s="19" t="n">
        <f aca="false">MT_M+EGRESS*EGRESS_GB_M*9</f>
        <v>3880.1256</v>
      </c>
      <c r="D13" s="19" t="n">
        <f aca="false">C13-C5</f>
        <v>40.5</v>
      </c>
      <c r="E13" s="23" t="n">
        <f aca="false">D13/C5</f>
        <v>0.0105479034205835</v>
      </c>
      <c r="F13" s="12" t="s">
        <v>280</v>
      </c>
    </row>
    <row r="14" customFormat="false" ht="15" hidden="false" customHeight="false" outlineLevel="0" collapsed="false">
      <c r="B14" s="5" t="s">
        <v>281</v>
      </c>
      <c r="C14" s="19" t="n">
        <f aca="false">MT_M*0.5</f>
        <v>1919.8128</v>
      </c>
      <c r="D14" s="19" t="n">
        <f aca="false">C14-C5</f>
        <v>-1919.8128</v>
      </c>
      <c r="E14" s="23" t="n">
        <f aca="false">D14/C5</f>
        <v>-0.5</v>
      </c>
      <c r="F14" s="12" t="s">
        <v>282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2026-06-10T12:50:53Z</dcterms:created>
  <dc:creator>openpyxl</dc:creator>
  <dc:description/>
  <dc:language>en-US</dc:language>
  <cp:lastModifiedBy/>
  <dcterms:modified xsi:type="dcterms:W3CDTF">2026-06-10T12:50:53Z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